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ecconcontabilidade-my.sharepoint.com/personal/tributario7_gtconbrasil_com_br/Documents/Documents/"/>
    </mc:Choice>
  </mc:AlternateContent>
  <xr:revisionPtr revIDLastSave="0" documentId="8_{93741618-EA34-4E64-B18C-18EC972EC989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Leia-me" sheetId="1" r:id="rId1"/>
    <sheet name="Parametros" sheetId="2" r:id="rId2"/>
    <sheet name="Confronto_Simples" sheetId="3" r:id="rId3"/>
    <sheet name="Dados" sheetId="4" r:id="rId4"/>
    <sheet name="Despesas" sheetId="5" r:id="rId5"/>
    <sheet name="Cen1_PGDAS" sheetId="6" r:id="rId6"/>
    <sheet name="Cen2_Hibrido" sheetId="7" r:id="rId7"/>
    <sheet name="Comparativo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8" l="1"/>
  <c r="B3" i="8"/>
  <c r="C17" i="7"/>
  <c r="B17" i="7"/>
  <c r="B3" i="7"/>
  <c r="C10" i="6"/>
  <c r="B10" i="6"/>
  <c r="C9" i="6"/>
  <c r="B9" i="6"/>
  <c r="B5" i="6"/>
  <c r="B5" i="7" s="1"/>
  <c r="B4" i="6"/>
  <c r="B4" i="7" s="1"/>
  <c r="B3" i="6"/>
  <c r="B34" i="5"/>
  <c r="B28" i="5"/>
  <c r="B18" i="5"/>
  <c r="B13" i="5"/>
  <c r="C29" i="4"/>
  <c r="D28" i="4"/>
  <c r="C28" i="4"/>
  <c r="C26" i="4"/>
  <c r="C25" i="4"/>
  <c r="C17" i="4"/>
  <c r="D16" i="4"/>
  <c r="C16" i="4"/>
  <c r="C14" i="4"/>
  <c r="C13" i="4"/>
  <c r="B8" i="4"/>
  <c r="B7" i="4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B3" i="3"/>
  <c r="B53" i="2"/>
  <c r="C19" i="7" l="1"/>
  <c r="C20" i="7"/>
  <c r="B20" i="7"/>
  <c r="B19" i="7"/>
  <c r="C10" i="7"/>
  <c r="C16" i="6"/>
  <c r="C18" i="6"/>
  <c r="C13" i="7" s="1"/>
  <c r="C17" i="6"/>
  <c r="C12" i="7" s="1"/>
  <c r="B18" i="6"/>
  <c r="B13" i="7" s="1"/>
  <c r="B10" i="7"/>
  <c r="B17" i="6"/>
  <c r="B12" i="7" s="1"/>
  <c r="B16" i="6"/>
  <c r="C15" i="6"/>
  <c r="C16" i="7" s="1"/>
  <c r="C14" i="6"/>
  <c r="C15" i="7" s="1"/>
  <c r="C11" i="6"/>
  <c r="C25" i="6"/>
  <c r="C12" i="6"/>
  <c r="B25" i="6"/>
  <c r="B15" i="6"/>
  <c r="B16" i="7" s="1"/>
  <c r="B14" i="6"/>
  <c r="B15" i="7" s="1"/>
  <c r="B12" i="6"/>
  <c r="B11" i="6"/>
  <c r="B6" i="7"/>
  <c r="C21" i="7"/>
  <c r="C13" i="8" s="1"/>
  <c r="B37" i="5"/>
  <c r="B36" i="5"/>
  <c r="C30" i="4"/>
  <c r="C18" i="7"/>
  <c r="B18" i="7"/>
  <c r="C18" i="4"/>
  <c r="B21" i="7" l="1"/>
  <c r="C12" i="8" s="1"/>
  <c r="B13" i="6"/>
  <c r="C11" i="7"/>
  <c r="B11" i="7"/>
  <c r="F11" i="5"/>
  <c r="F12" i="5"/>
  <c r="F21" i="5"/>
  <c r="F23" i="5"/>
  <c r="F25" i="5"/>
  <c r="F26" i="5"/>
  <c r="F9" i="5"/>
  <c r="F16" i="5"/>
  <c r="F17" i="5"/>
  <c r="F24" i="5"/>
  <c r="F27" i="5"/>
  <c r="F31" i="5"/>
  <c r="F32" i="5"/>
  <c r="F33" i="5"/>
  <c r="F10" i="5"/>
  <c r="F22" i="5"/>
  <c r="C13" i="6"/>
  <c r="C26" i="7"/>
  <c r="C27" i="7" s="1"/>
  <c r="B26" i="7"/>
  <c r="B27" i="7" s="1"/>
  <c r="B21" i="6" l="1"/>
  <c r="B22" i="6" s="1"/>
  <c r="B14" i="7"/>
  <c r="B19" i="6"/>
  <c r="B20" i="6"/>
  <c r="B23" i="6"/>
  <c r="B24" i="6" s="1"/>
  <c r="C23" i="6"/>
  <c r="C24" i="6" s="1"/>
  <c r="B28" i="6" s="1"/>
  <c r="B10" i="8" s="1"/>
  <c r="C20" i="6"/>
  <c r="C19" i="6"/>
  <c r="C14" i="7"/>
  <c r="C21" i="6"/>
  <c r="B36" i="7"/>
  <c r="C10" i="8" s="1"/>
  <c r="B30" i="7"/>
  <c r="F18" i="5"/>
  <c r="F28" i="5"/>
  <c r="F13" i="5"/>
  <c r="F36" i="5" s="1"/>
  <c r="B31" i="7" s="1"/>
  <c r="F34" i="5"/>
  <c r="B22" i="7" l="1"/>
  <c r="B24" i="7" s="1"/>
  <c r="B25" i="7" s="1"/>
  <c r="B23" i="7"/>
  <c r="C22" i="6"/>
  <c r="B27" i="6" s="1"/>
  <c r="B7" i="8" s="1"/>
  <c r="B9" i="8" s="1"/>
  <c r="B33" i="7"/>
  <c r="C14" i="8" s="1"/>
  <c r="C22" i="7"/>
  <c r="C23" i="7"/>
  <c r="D10" i="8"/>
  <c r="B32" i="7"/>
  <c r="B8" i="8" l="1"/>
  <c r="B11" i="8"/>
  <c r="C24" i="7"/>
  <c r="C25" i="7" s="1"/>
  <c r="B34" i="7" s="1"/>
  <c r="B35" i="7" s="1"/>
  <c r="C7" i="8" s="1"/>
  <c r="D7" i="8" l="1"/>
  <c r="C8" i="8"/>
  <c r="D8" i="8" s="1"/>
  <c r="C11" i="8"/>
  <c r="B18" i="8"/>
  <c r="B21" i="8"/>
  <c r="C9" i="8"/>
  <c r="D9" i="8" s="1"/>
  <c r="D11" i="8" l="1"/>
  <c r="B19" i="8"/>
</calcChain>
</file>

<file path=xl/sharedStrings.xml><?xml version="1.0" encoding="utf-8"?>
<sst xmlns="http://schemas.openxmlformats.org/spreadsheetml/2006/main" count="382" uniqueCount="254">
  <si>
    <t>SIMULADOR REFORMA TRIBUTÁRIA — SIMPLES NACIONAL: IBS/CBS NO PGDAS x HÍBRIDO — v3 (cClassTrib, segregação por valores e aba Despesas)</t>
  </si>
  <si>
    <t>1. OBJETIVO</t>
  </si>
  <si>
    <t>Comparar, para optantes do Simples Nacional, as duas estratégias do art. 41 da LC 214/2025: (a) CENÁRIO 1 — IBS/CBS por dentro do PGDAS-D; (b) CENÁRIO 2 — HÍBRIDO: demais tributos no Simples e IBS/CBS apurados por fora (regime regular), com reduções de alíquota do cClassTrib nas vendas e créditos sobre as despesas detalhadas.</t>
  </si>
  <si>
    <t>2. SEGREGAÇÃO DE RECEITAS POR VALORES (NOVO)</t>
  </si>
  <si>
    <t>Na aba Dados, informe os VALORES mensais em R$ da receita com ICMS-ST e da receita monofásica de PIS/COFINS — os percentuais de segregação são calculados automaticamente ao lado. O mesmo vale para os produtos com redução de IBS/CBS: informe o valor mensal vendido de produtos enquadrados no cClassTrib com redução e a planilha traz o % de produtos COM redução e o % SEM redução, além dos percentuais de redução (pRedIBS/pRedCBS) do código escolhido.</t>
  </si>
  <si>
    <t>3. AMARRAÇÃO COM O cClassTrib</t>
  </si>
  <si>
    <t>A tabela de Classificação Tributária (IT 2025.002 — Portal Nacional da NF-e) vincula cada cClassTrib a percentuais de redução do IBS (pRedIBS) e da CBS (pRedCBS). A tabela é editável na aba Parametros. A redução entra automaticamente no débito por fora do Cenário 2 e na alíquota destacada na NF-e. PONTO-CHAVE: quem permanece com IBS/CBS por dentro do PGDAS NÃO aproveita as reduções de 30%/60%/alíquota zero — o DAS não muda. Para clientes com produtos beneficiados, o híbrido tende a ficar muito mais atrativo, podendo gerar saldo credor.</t>
  </si>
  <si>
    <t>4. ABA DESPESAS — SEGREGADA (NOVO)</t>
  </si>
  <si>
    <t>As despesas agora ficam em aba própria, segregadas em 4 grupos: (1) vinculadas à Atividade 1 — comércio/indústria; (2) vinculadas à Atividade 2 — serviços; (3) comuns/administrativas com crédito; (4) sem direito a crédito (uso e consumo pessoal — art. 57 da LC 214/2025 — e folha). Para cada linha: valor mensal, S/N de crédito, % de fornecedores do regime regular e % de redução do cClassTrib do FORNECEDOR (o crédito é limitado ao imposto efetivamente destacado). Subtotais por grupo e total geral alimentam o Cenário 2.</t>
  </si>
  <si>
    <t>5. COMO USAR</t>
  </si>
  <si>
    <t>Preencha somente as células em amarelo/fonte azul nas abas Dados e Despesas (e, se quiser, alíquotas de referência e tabela cClassTrib na aba Parametros). Escolha o ano (2027 a 2033). As abas Cen1_PGDAS e Cen2_Hibrido calculam automaticamente; a aba Comparativo consolida e indica a estratégia.</t>
  </si>
  <si>
    <t>6. VARIÁVEIS QUE DECIDEM O JOGO</t>
  </si>
  <si>
    <t>• % de vendas B2B para clientes do regime regular (no híbrido o cliente credita o IBS/CBS destacado; no PGDAS só o valor pago no DAS).  • cClassTrib das vendas: reduções só valem por fora.  • Volume e perfil das despesas com crédito.  • Receitas hoje segregadas (ST/monofásico) perdem o benefício gradualmente no Cenário 1: monofásico acaba em 2027; ST se esvazia com a migração do ICMS para o IBS (2029-2032; extinção em 2033).  • Vendas B2C, margem alta e cClassTrib integral favorecem o PGDAS.</t>
  </si>
  <si>
    <t>7. PREMISSAS (ajuste conforme regulamentação)</t>
  </si>
  <si>
    <t>(i) Alíquotas de referência estimadas e editáveis (serão fixadas por resolução do Senado). (ii) Cenário 1: percentuais dos Anexos recalibrados mantendo a alíquota efetiva total do DAS. (iii) Crédito do adquirente no Cenário 1 = IBS/CBS efetivamente pago no DAS. (iv) Transição do IBS: 2029=10%, 2030=20%, 2031=30%, 2032=40%, 2033=100%; CBS integral desde 2027. (v) IBS-teste de 0,1% (2027/2028) desprezado. (vi) Fornecedor do Simples por dentro transfere crédito parcial — ajuste no % de fornecedores do regime regular. (vii) Não modelados: Imposto Seletivo, split payment, Fator R, sublimite de R$ 3,6 mi (há alerta), IPI/ZFM, crédito presumido. (viii) Códigos cClassTrib pré-carregados são exemplos — confirme na tabela oficial vigente do Portal da NF-e.</t>
  </si>
  <si>
    <t>8. BASE LEGAL</t>
  </si>
  <si>
    <t>EC 132/2023 (arts. 125 a 133 do ADCT); LC 214/2025 (art. 41 — opção irretratável para o ano-calendário; arts. 47 e ss. — créditos; art. 57 — vedações; arts. 125 a 145 — alíquota zero e reduções de 30%/60%); IT/NT 2025.002 (tabelas cClassTrib e CST); LC 123/2006 (Anexos I a V).</t>
  </si>
  <si>
    <t>9. AVISO</t>
  </si>
  <si>
    <t>Ferramenta de apoio à decisão com estimativas e premissas simplificadoras. Não substitui a análise do caso concreto nem a legislação vigente.</t>
  </si>
  <si>
    <t>PARÂMETROS — TABELAS DO SIMPLES, TRANSIÇÃO, ALÍQUOTAS E cClassTrib</t>
  </si>
  <si>
    <t>TABELAS DO SIMPLES NACIONAL — LC 123/2006, Anexos I a V (alíquotas e repartição consolidada)</t>
  </si>
  <si>
    <t>Anexo</t>
  </si>
  <si>
    <t>Faixa</t>
  </si>
  <si>
    <t>RBT12 de (R$)</t>
  </si>
  <si>
    <t>RBT12 até (R$)</t>
  </si>
  <si>
    <t>Alíq. nominal</t>
  </si>
  <si>
    <t>Parcela a deduzir (R$)</t>
  </si>
  <si>
    <t>% permanece no DAS (IRPJ/CSLL/CPP/IPI)</t>
  </si>
  <si>
    <t>% PIS+COFINS (→ CBS)</t>
  </si>
  <si>
    <t>% ICMS/ISS (→ IBS)</t>
  </si>
  <si>
    <t>I</t>
  </si>
  <si>
    <t>II</t>
  </si>
  <si>
    <t>III</t>
  </si>
  <si>
    <t>IV</t>
  </si>
  <si>
    <t>V</t>
  </si>
  <si>
    <t>Nota: repartição consolidada a partir dos percentuais oficiais dos Anexos da LC 123/2006. Na 6ª faixa o ICMS/ISS é recolhido fora do Simples (0%). No Anexo II a parcela do IPI foi mantida em '% permanece' (redistribuição pendente de regulamentação).</t>
  </si>
  <si>
    <t>TRANSIÇÃO DA REFORMA — EC 132/2023 / LC 214/2025</t>
  </si>
  <si>
    <t>Ano</t>
  </si>
  <si>
    <t>Fase CBS (substitui PIS/COFINS)</t>
  </si>
  <si>
    <t>Fase IBS (substitui ICMS/ISS)</t>
  </si>
  <si>
    <t>2027</t>
  </si>
  <si>
    <t>2027/2028: IBS-teste de 0,1% desprezado. 2029-2032: ICMS/ISS reduzidos em 10/20/30/40% e IBS cobrado na mesma proporção. 2033: extinção do ICMS/ISS.</t>
  </si>
  <si>
    <t>2028</t>
  </si>
  <si>
    <t>2029</t>
  </si>
  <si>
    <t>2030</t>
  </si>
  <si>
    <t>2031</t>
  </si>
  <si>
    <t>2032</t>
  </si>
  <si>
    <t>2033</t>
  </si>
  <si>
    <t>ALÍQUOTAS DE REFERÊNCIA DO REGIME REGULAR — EDITÁVEIS (estimativas)</t>
  </si>
  <si>
    <t>CBS (federal)</t>
  </si>
  <si>
    <t>Estimativa do Ministério da Fazenda; a alíquota de referência será fixada por resolução do Senado Federal. Atualize quando publicada.</t>
  </si>
  <si>
    <t>IBS (estadual + municipal)</t>
  </si>
  <si>
    <t>TOTAL IBS + CBS</t>
  </si>
  <si>
    <t>TABELA cClassTrib — CLASSIFICAÇÃO TRIBUTÁRIA E REDUÇÕES DE ALÍQUOTA (EDITÁVEL — IT 2025.002 / Portal NF-e)</t>
  </si>
  <si>
    <t>cClassTrib</t>
  </si>
  <si>
    <t>CST</t>
  </si>
  <si>
    <t>Descrição</t>
  </si>
  <si>
    <t>pRedIBS (% redução IBS)</t>
  </si>
  <si>
    <t>pRedCBS (% redução CBS)</t>
  </si>
  <si>
    <t>Base legal (LC 214/2025)</t>
  </si>
  <si>
    <t>000001</t>
  </si>
  <si>
    <t>000</t>
  </si>
  <si>
    <t>Tributação integral — regra geral</t>
  </si>
  <si>
    <t>art. 10</t>
  </si>
  <si>
    <t>200003</t>
  </si>
  <si>
    <t>200</t>
  </si>
  <si>
    <t>Produtos destinados à alimentação humana (red. 60%)</t>
  </si>
  <si>
    <t>art. 137 / Anexo</t>
  </si>
  <si>
    <t>200004</t>
  </si>
  <si>
    <t>Dispositivos médicos (red. 60%)</t>
  </si>
  <si>
    <t>200039</t>
  </si>
  <si>
    <t>Produções artísticas, culturais e eventos — Anexo X (red. 60%)</t>
  </si>
  <si>
    <t>art. 137 / Anexo X</t>
  </si>
  <si>
    <t>RED-60</t>
  </si>
  <si>
    <t>Genérico — alíquota reduzida em 60% (saúde, educação, agro, insumos etc.)</t>
  </si>
  <si>
    <t>arts. 128-145</t>
  </si>
  <si>
    <t>RED-30</t>
  </si>
  <si>
    <t>Genérico — profissões intelectuais regulamentadas (red. 30%)</t>
  </si>
  <si>
    <t>art. 127</t>
  </si>
  <si>
    <t>ALIQ-ZERO</t>
  </si>
  <si>
    <t>Genérico — alíquota zero (cesta básica nacional etc.)</t>
  </si>
  <si>
    <t>arts. 125-126</t>
  </si>
  <si>
    <t>RED-40-BAR-REST</t>
  </si>
  <si>
    <t>Bares, restaurantes e lanchonetes — regime específico (red. 40%; adquirente SEM direito a crédito — marque 'N' na aba Dados)</t>
  </si>
  <si>
    <t>arts. 273-276</t>
  </si>
  <si>
    <t>RED-40-HOTEL</t>
  </si>
  <si>
    <t>Hotelaria, parques de diversão e temáticos — regime específico (red. 40%)</t>
  </si>
  <si>
    <t>regime específico</t>
  </si>
  <si>
    <t>IMPORTANTE: códigos e percentuais pré-carregados são EXEMPLOS para simulação. Substitua/complete com a tabela oficial cClassTrib vigente (Portal Nacional da NF-e &gt; Documentos &gt; Diversos — IT 2025.002), que traz pRedIBS e pRedCBS por código. Linhas em branco disponíveis para novos códigos.</t>
  </si>
  <si>
    <t>CONFRONTO COM A TABELA DO SIMPLES NACIONAL — LC 123/2006 (validação faixa a faixa)</t>
  </si>
  <si>
    <t>RBT12 informado (aba Dados)</t>
  </si>
  <si>
    <t>A planilha calcula o DAS pela ALÍQUOTA EFETIVA = (RBT12 × nominal − parcela a deduzir) ÷ RBT12. A alíquota nominal é apenas o ponto de partida da fórmula — ela nunca é aplicada diretamente sobre a receita. Compare abaixo, faixa a faixa, com a tabela oficial.</t>
  </si>
  <si>
    <t>ANEXO I — COMÉRCIO</t>
  </si>
  <si>
    <t>Alíq. EFETIVA no teto da faixa</t>
  </si>
  <si>
    <t>Alíq. EFETIVA no RBT12 informado</t>
  </si>
  <si>
    <t>Situação</t>
  </si>
  <si>
    <t>ANEXO II — INDÚSTRIA</t>
  </si>
  <si>
    <t>ANEXO III — SERVIÇOS</t>
  </si>
  <si>
    <t>ANEXO IV — SERVIÇOS</t>
  </si>
  <si>
    <t>ANEXO V — SERVIÇOS</t>
  </si>
  <si>
    <t>Leitura: a coluna 'Alíq. EFETIVA no teto da faixa' é o máximo que a faixa pode gerar — repare que a efetiva é sempre bem menor que a nominal (ex.: Anexo I, 5ª faixa: nominal 14,30%, efetiva máxima 11,875%). A linha marcada com ◄ é a faixa usada nos cenários para o RBT12 informado.</t>
  </si>
  <si>
    <t>DADOS DO CLIENTE — PREENCHA AS CÉLULAS EM AMARELO (percentuais em cinza são calculados)</t>
  </si>
  <si>
    <t>IDENTIFICAÇÃO</t>
  </si>
  <si>
    <t>Cliente</t>
  </si>
  <si>
    <t>Ano da simulação</t>
  </si>
  <si>
    <t>Escolha 2027 a 2033 para ver o efeito da transição.</t>
  </si>
  <si>
    <t>RBT12 — receita bruta acumulada 12 meses (R$)</t>
  </si>
  <si>
    <t>Verificação do sublimite estadual</t>
  </si>
  <si>
    <t>Coerência RBT12 × receita mensal informada</t>
  </si>
  <si>
    <t>ATIVIDADE 1 — COMÉRCIO / INDÚSTRIA</t>
  </si>
  <si>
    <t>Anexo do Simples</t>
  </si>
  <si>
    <t>I = comércio; II = indústria.</t>
  </si>
  <si>
    <t>Receita mensal TOTAL (R$)</t>
  </si>
  <si>
    <t>Receita com ICMS-ST hoje (R$/mês)</t>
  </si>
  <si>
    <t>→ % da receita calculado na coluna C.</t>
  </si>
  <si>
    <t>Receita monofásica de PIS/COFINS hoje (R$/mês)</t>
  </si>
  <si>
    <t>% das receitas concentradas que PERMANECEM concentradas</t>
  </si>
  <si>
    <t>Regra geral: 0%. Use &gt;0% p/ combustíveis e regimes específicos.</t>
  </si>
  <si>
    <t>cClassTrib dos produtos COM redução de IBS/CBS</t>
  </si>
  <si>
    <t>pRedIBS e pRedCBS do código →</t>
  </si>
  <si>
    <t>Receita mensal de produtos COM redução de IBS/CBS (R$)</t>
  </si>
  <si>
    <t>→ % de produtos COM redução calculado na coluna C.</t>
  </si>
  <si>
    <t>% de produtos SEM redução de IBS/CBS (calculado)</t>
  </si>
  <si>
    <t>Tratados como tributação integral (000001).</t>
  </si>
  <si>
    <t>Vendas geram crédito ao adquirente? (S/N)</t>
  </si>
  <si>
    <t>S</t>
  </si>
  <si>
    <t>Marque 'N' p/ bares e restaurantes — art. 276 da LC 214/2025 veda o crédito ao adquirente.</t>
  </si>
  <si>
    <t>Exclusões da base por fora (R$/mês): gorjetas repassadas + retenções de delivery</t>
  </si>
  <si>
    <t>Arts. 274, p.ú., LC 214/2025 e 399 do Dec. 12.955/26 (gorjeta até 15%); exige segregação no documento fiscal.</t>
  </si>
  <si>
    <t>ATIVIDADE 2 — SERVIÇOS</t>
  </si>
  <si>
    <t>III, IV ou V (avalie o Fator R).</t>
  </si>
  <si>
    <t>PERFIL DE CLIENTES</t>
  </si>
  <si>
    <t>% das vendas B2B para clientes do regime regular (aproveitam crédito)</t>
  </si>
  <si>
    <t>Variável decisiva: no híbrido o cliente credita o IBS/CBS destacado.</t>
  </si>
  <si>
    <t>DESPESAS MENSAIS SEGREGADAS — CRÉDITOS DE IBS/CBS NO CENÁRIO HÍBRIDO</t>
  </si>
  <si>
    <t>Crédito = Valor × (S/N) × % fornecedor regime regular × (1 − redução cClassTrib do fornecedor) × alíquota IBS/CBS vigente no ano (Cen2!B6). Fornecedor com cClassTrib reduzido destaca menos imposto → crédito menor. Fornecedor do Simples por dentro transfere só o valor pago no DAS (ajuste na coluna D).</t>
  </si>
  <si>
    <t>Categoria de despesa</t>
  </si>
  <si>
    <t>Valor mensal (R$)</t>
  </si>
  <si>
    <t>Crédito? (S/N)</t>
  </si>
  <si>
    <t>% fornecedor regime regular</t>
  </si>
  <si>
    <t>% redução cClassTrib do fornecedor</t>
  </si>
  <si>
    <t>Crédito estimado (R$)</t>
  </si>
  <si>
    <t>1. DESPESAS VINCULADAS À ATIVIDADE 1 — COMÉRCIO/INDÚSTRIA</t>
  </si>
  <si>
    <t>Mercadorias para revenda</t>
  </si>
  <si>
    <t>Matérias-primas e insumos de produção</t>
  </si>
  <si>
    <t>Embalagens</t>
  </si>
  <si>
    <t>Fretes sobre compras e vendas</t>
  </si>
  <si>
    <t>Subtotal</t>
  </si>
  <si>
    <t>2. DESPESAS VINCULADAS À ATIVIDADE 2 — SERVIÇOS</t>
  </si>
  <si>
    <t>Materiais aplicados na prestação de serviços</t>
  </si>
  <si>
    <t>Serviços subcontratados de PJ</t>
  </si>
  <si>
    <t>3. DESPESAS COMUNS / ADMINISTRATIVAS COM CRÉDITO</t>
  </si>
  <si>
    <t>Energia elétrica</t>
  </si>
  <si>
    <t>Aluguel de imóvel (locador PJ contribuinte)</t>
  </si>
  <si>
    <t>Serviços tomados de PJ (TI, marketing, manutenção...)</t>
  </si>
  <si>
    <t>Telecomunicações</t>
  </si>
  <si>
    <t>Combustíveis (regime monofásico)</t>
  </si>
  <si>
    <t>Bens do ativo imobilizado (crédito integral e imediato)</t>
  </si>
  <si>
    <t>Outras despesas com crédito</t>
  </si>
  <si>
    <t>4. DESPESAS SEM DIREITO A CRÉDITO</t>
  </si>
  <si>
    <t>Bens/serviços de USO E CONSUMO PESSOAL — vedado (art. 57)</t>
  </si>
  <si>
    <t>N</t>
  </si>
  <si>
    <t>Folha de salários e pró-labore — sem incidência</t>
  </si>
  <si>
    <t>Outras despesas sem crédito</t>
  </si>
  <si>
    <t>TOTAL GERAL DAS DESPESAS</t>
  </si>
  <si>
    <t>Total de despesas COM direito a crédito (base creditável)</t>
  </si>
  <si>
    <t>CENÁRIO 1 — SIMPLES INTEGRAL: IBS/CBS RECOLHIDOS POR DENTRO DO PGDAS</t>
  </si>
  <si>
    <t>Fase CBS (PIS/COFINS → CBS)</t>
  </si>
  <si>
    <t>Fase IBS (ICMS/ISS → IBS)</t>
  </si>
  <si>
    <t>APURAÇÃO POR ATIVIDADE</t>
  </si>
  <si>
    <t>Atividade 1 — Comércio/Ind.</t>
  </si>
  <si>
    <t>Atividade 2 — Serviços</t>
  </si>
  <si>
    <t>Receita mensal (R$)</t>
  </si>
  <si>
    <t>Alíquota NOMINAL da faixa (só referência)</t>
  </si>
  <si>
    <t>ALÍQUOTA EFETIVA do Simples (usada no cálculo)</t>
  </si>
  <si>
    <t>% da alíq. destinado a PIS/COFINS (→CBS)</t>
  </si>
  <si>
    <t>% da alíq. destinado a ICMS/ISS (→IBS)</t>
  </si>
  <si>
    <t>Receita sem concentração (R$)</t>
  </si>
  <si>
    <t>Receita com ICMS-ST (R$)</t>
  </si>
  <si>
    <t>Receita monofásica (R$)</t>
  </si>
  <si>
    <t>Alíq. DAS s/ receita normal</t>
  </si>
  <si>
    <t>Alíq. DAS s/ receita ST</t>
  </si>
  <si>
    <t>Receita ST: mantém o benefício apenas sobre a parcela do ICMS ainda não substituída pelo IBS (e sobre o que permanecer concentrado).</t>
  </si>
  <si>
    <t>Alíq. DAS s/ receita monofásica</t>
  </si>
  <si>
    <t>DAS MENSAL DA ATIVIDADE (R$)</t>
  </si>
  <si>
    <t>Premissa: percentuais dos Anexos recalibrados mantendo a alíquota efetiva total. As reduções do cClassTrib NÃO se aplicam por dentro do PGDAS — o DAS não muda.</t>
  </si>
  <si>
    <t>Crédito de IBS/CBS transferível aos clientes (total, R$)</t>
  </si>
  <si>
    <t>Crédito do adquirente limitado ao IBS/CBS efetivamente pago no DAS (LC 214/2025).</t>
  </si>
  <si>
    <t>Crédito transferível — só vendas B2B (R$)</t>
  </si>
  <si>
    <t>Faixa da tabela aplicada (confira na aba Confronto_Simples)</t>
  </si>
  <si>
    <t>TOTAIS — CENÁRIO 1</t>
  </si>
  <si>
    <t>DAS TOTAL MENSAL (R$)</t>
  </si>
  <si>
    <t>Crédito de IBS/CBS gerado a clientes B2B (R$/mês)</t>
  </si>
  <si>
    <t>CENÁRIO 2 — HÍBRIDO: SIMPLES + IBS/CBS POR FORA, COM REDUÇÕES DO cClassTrib</t>
  </si>
  <si>
    <t>Fase CBS</t>
  </si>
  <si>
    <t>Fase IBS</t>
  </si>
  <si>
    <t>Alíquota IBS/CBS CHEIA vigente no ano (sem redução)</t>
  </si>
  <si>
    <t>APURAÇÃO POR ATIVIDADE — DAS REDUZIDO E DÉBITO POR FORA</t>
  </si>
  <si>
    <t>Alíquota efetiva do Simples</t>
  </si>
  <si>
    <t>% parcela → CBS</t>
  </si>
  <si>
    <t>% parcela → IBS</t>
  </si>
  <si>
    <t>cClassTrib dos produtos com redução</t>
  </si>
  <si>
    <t>% de produtos COM redução (calculado)</t>
  </si>
  <si>
    <t>pRedIBS (redução do IBS)</t>
  </si>
  <si>
    <t>Reduções lidas automaticamente da tabela cClassTrib (aba Parametros). Código não encontrado = 0%.</t>
  </si>
  <si>
    <t>pRedCBS (redução da CBS)</t>
  </si>
  <si>
    <t>ALÍQ. IBS/CBS DE VENDA da atividade (média c/ redução)</t>
  </si>
  <si>
    <t>Média ponderada: alíquota cheia sobre os produtos sem redução + alíquota reduzida sobre os produtos com redução. É a alíquota efetiva destacada nas NF-e.</t>
  </si>
  <si>
    <t>Alíq. DAS reduzida s/ receita normal</t>
  </si>
  <si>
    <t>Retiram-se do DAS as parcelas de PIS/COFINS (→CBS) e ICMS/ISS (→IBS) conforme a fase da transição.</t>
  </si>
  <si>
    <t>Alíq. DAS reduzida s/ receita ST</t>
  </si>
  <si>
    <t>Alíq. DAS reduzida s/ receita monofásica</t>
  </si>
  <si>
    <t>Monofásico sai do DAS a partir de 2027; ST segue reduzindo o ICMS remanescente.</t>
  </si>
  <si>
    <t>DAS MENSAL REDUZIDO (R$)</t>
  </si>
  <si>
    <t>Base do IBS/CBS por fora (R$)</t>
  </si>
  <si>
    <t>Exclui da base a fração que permanecer concentrada (ex.: combustíveis) e as exclusões informadas na aba Dados (gorjetas repassadas até 15% e retenções de delivery — arts. 274 LC 214/25 e 399 Dec. 12.955/26).</t>
  </si>
  <si>
    <t>Débito de IBS/CBS por fora (R$)</t>
  </si>
  <si>
    <t>APURAÇÃO GLOBAL DO IBS/CBS POR FORA E CARGA TOTAL</t>
  </si>
  <si>
    <t>Débito total de IBS/CBS (R$)</t>
  </si>
  <si>
    <t>Crédito s/ despesas detalhadas (R$)</t>
  </si>
  <si>
    <t>Total geral da aba Despesas (subtotais dos grupos 1 a 4).</t>
  </si>
  <si>
    <t>IBS/CBS a recolher (R$)</t>
  </si>
  <si>
    <t>Saldo credor do período, se houver (R$)</t>
  </si>
  <si>
    <t>Comum quando as vendas têm cClassTrib com redução/alíquota zero e as compras são integrais — passível de ressarcimento.</t>
  </si>
  <si>
    <t>DAS total reduzido (R$)</t>
  </si>
  <si>
    <t>CARGA TOTAL MENSAL — HÍBRIDO (R$)</t>
  </si>
  <si>
    <t>No híbrido o cliente do regime regular credita o imposto destacado na NF (já líquido da redução do cClassTrib).</t>
  </si>
  <si>
    <t>COMPARATIVO E DECISÃO ESTRATÉGICA</t>
  </si>
  <si>
    <t>CENÁRIO 1 — Tudo no PGDAS</t>
  </si>
  <si>
    <t>CENÁRIO 2 — Híbrido (por fora)</t>
  </si>
  <si>
    <t>Diferença (C2 − C1)</t>
  </si>
  <si>
    <t>Carga tributária própria — MENSAL (R$)</t>
  </si>
  <si>
    <t>Carga tributária própria — ANUAL (R$)</t>
  </si>
  <si>
    <t>Carga própria em % da receita</t>
  </si>
  <si>
    <t>CARGA LÍQUIDA NA CADEIA (própria − crédito B2B)</t>
  </si>
  <si>
    <t>Alíq. IBS/CBS destacada na NF — Atividade 1</t>
  </si>
  <si>
    <t>sem destaque (por dentro)</t>
  </si>
  <si>
    <t>Alíq. IBS/CBS destacada na NF — Atividade 2</t>
  </si>
  <si>
    <t>Saldo credor mensal no híbrido (se houver)</t>
  </si>
  <si>
    <t>n/a</t>
  </si>
  <si>
    <t>Valores negativos na coluna D = híbrido melhor.</t>
  </si>
  <si>
    <t>LEITURA DOS RESULTADOS</t>
  </si>
  <si>
    <t>Qual cenário custa menos PARA A EMPRESA?</t>
  </si>
  <si>
    <t>Qual cenário custa menos PARA A CADEIA (empresa + clientes B2B)?</t>
  </si>
  <si>
    <t>RECOMENDAÇÃO</t>
  </si>
  <si>
    <t>DRIVERS DA DECISÃO (teste nas abas Dados e Despesas)</t>
  </si>
  <si>
    <t>• cClassTrib com redução (30%/60%) ou alíquota zero nas VENDAS → só beneficia quem está POR FORA: derruba o débito do híbrido, mantém os créditos das compras e pode gerar saldo credor. Quem fica no PGDAS não aproveita a redução.</t>
  </si>
  <si>
    <t>• ↑ % vendas B2B para regime regular e ↑ despesas com crédito → favorecem o HÍBRIDO.</t>
  </si>
  <si>
    <t>• ↑ vendas B2C, ↑ margem (pouco insumo) e cClassTrib integral (000001) → favorecem o PGDAS.</t>
  </si>
  <si>
    <t>• Receitas hoje segregadas (ST/monofásico) perdem o benefício gradualmente no Cenário 1 — recalcule a cada ano da transição (2027→2033).</t>
  </si>
  <si>
    <t>• BARES E RESTAURANTES (regime específico — arts. 273-276): use o código RED-40-BAR-REST (red. 40%), marque 'N' em 'vendas geram crédito ao adquirente' e lance gorjetas repassadas/retenções de delivery nas exclusões da base — a redução vale só por fora e o cliente PJ não credita.</t>
  </si>
  <si>
    <t>• Confira as vedações de crédito (uso e consumo pessoal — art. 57) e a redução do cClassTrib dos FORNECEDORES: comprar de quem vende com redução também reduz seu crédito.</t>
  </si>
  <si>
    <t>• A opção pelo regime regular de IBS/CBS é irretratável para o ano-calendário: simule antes do prazo de opção de cada ano.</t>
  </si>
  <si>
    <t>PLANT 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</si>
</sst>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R$ &quot;#,##0.00"/>
  </numFmts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i/>
      <sz val="8.5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305496"/>
      </patternFill>
    </fill>
    <fill>
      <patternFill patternType="solid">
        <fgColor rgb="FF2E75B6"/>
        <bgColor rgb="FF305496"/>
      </patternFill>
    </fill>
    <fill>
      <patternFill patternType="solid">
        <fgColor rgb="FF305496"/>
        <bgColor rgb="FF1F4E5F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  <fill>
      <patternFill patternType="solid">
        <fgColor rgb="FF8EAADB"/>
        <bgColor rgb="FF9696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1" xfId="0" applyFont="1" applyBorder="1"/>
    <xf numFmtId="0" fontId="5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/>
    <xf numFmtId="10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0" fontId="6" fillId="0" borderId="1" xfId="0" applyFont="1" applyBorder="1"/>
    <xf numFmtId="10" fontId="7" fillId="5" borderId="1" xfId="0" applyNumberFormat="1" applyFont="1" applyFill="1" applyBorder="1"/>
    <xf numFmtId="10" fontId="3" fillId="6" borderId="1" xfId="0" applyNumberFormat="1" applyFont="1" applyFill="1" applyBorder="1"/>
    <xf numFmtId="49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/>
    <xf numFmtId="164" fontId="7" fillId="5" borderId="1" xfId="0" applyNumberFormat="1" applyFont="1" applyFill="1" applyBorder="1"/>
    <xf numFmtId="165" fontId="8" fillId="6" borderId="1" xfId="0" applyNumberFormat="1" applyFont="1" applyFill="1" applyBorder="1"/>
    <xf numFmtId="0" fontId="8" fillId="0" borderId="1" xfId="0" applyFont="1" applyBorder="1" applyAlignment="1">
      <alignment horizontal="center"/>
    </xf>
    <xf numFmtId="4" fontId="8" fillId="0" borderId="1" xfId="0" applyNumberFormat="1" applyFont="1" applyBorder="1"/>
    <xf numFmtId="10" fontId="8" fillId="0" borderId="1" xfId="0" applyNumberFormat="1" applyFont="1" applyBorder="1"/>
    <xf numFmtId="0" fontId="6" fillId="0" borderId="1" xfId="0" applyFont="1" applyBorder="1" applyAlignment="1">
      <alignment horizontal="center"/>
    </xf>
    <xf numFmtId="49" fontId="7" fillId="5" borderId="1" xfId="0" applyNumberFormat="1" applyFont="1" applyFill="1" applyBorder="1"/>
    <xf numFmtId="165" fontId="7" fillId="5" borderId="1" xfId="0" applyNumberFormat="1" applyFont="1" applyFill="1" applyBorder="1"/>
    <xf numFmtId="164" fontId="3" fillId="6" borderId="1" xfId="0" applyNumberFormat="1" applyFont="1" applyFill="1" applyBorder="1"/>
    <xf numFmtId="0" fontId="7" fillId="5" borderId="1" xfId="0" applyFont="1" applyFill="1" applyBorder="1" applyAlignment="1">
      <alignment horizontal="center"/>
    </xf>
    <xf numFmtId="165" fontId="3" fillId="0" borderId="1" xfId="0" applyNumberFormat="1" applyFont="1" applyBorder="1"/>
    <xf numFmtId="0" fontId="6" fillId="6" borderId="1" xfId="0" applyFont="1" applyFill="1" applyBorder="1"/>
    <xf numFmtId="165" fontId="6" fillId="6" borderId="1" xfId="0" applyNumberFormat="1" applyFont="1" applyFill="1" applyBorder="1"/>
    <xf numFmtId="0" fontId="3" fillId="6" borderId="1" xfId="0" applyFont="1" applyFill="1" applyBorder="1"/>
    <xf numFmtId="49" fontId="8" fillId="0" borderId="1" xfId="0" applyNumberFormat="1" applyFont="1" applyBorder="1"/>
    <xf numFmtId="0" fontId="4" fillId="4" borderId="1" xfId="0" applyFont="1" applyFill="1" applyBorder="1" applyAlignment="1">
      <alignment horizontal="center"/>
    </xf>
    <xf numFmtId="0" fontId="8" fillId="0" borderId="1" xfId="0" applyFont="1" applyBorder="1"/>
    <xf numFmtId="165" fontId="8" fillId="0" borderId="1" xfId="0" applyNumberFormat="1" applyFont="1" applyBorder="1"/>
    <xf numFmtId="165" fontId="3" fillId="6" borderId="1" xfId="0" applyNumberFormat="1" applyFont="1" applyFill="1" applyBorder="1"/>
    <xf numFmtId="0" fontId="3" fillId="6" borderId="1" xfId="0" applyFont="1" applyFill="1" applyBorder="1" applyAlignment="1">
      <alignment horizontal="center"/>
    </xf>
    <xf numFmtId="164" fontId="8" fillId="0" borderId="1" xfId="0" applyNumberFormat="1" applyFont="1" applyBorder="1"/>
    <xf numFmtId="49" fontId="8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3" fillId="0" borderId="1" xfId="0" applyFont="1" applyBorder="1"/>
    <xf numFmtId="0" fontId="2" fillId="7" borderId="0" xfId="0" applyFont="1" applyFill="1" applyAlignment="1">
      <alignment horizontal="left" vertical="center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zoomScaleNormal="100" workbookViewId="0">
      <selection sqref="A1:B1"/>
    </sheetView>
  </sheetViews>
  <sheetFormatPr defaultColWidth="8.7109375" defaultRowHeight="15" x14ac:dyDescent="0.25"/>
  <cols>
    <col min="1" max="1" width="4" customWidth="1"/>
    <col min="2" max="2" width="130" customWidth="1"/>
  </cols>
  <sheetData>
    <row r="1" spans="1:2" ht="24" customHeight="1" x14ac:dyDescent="0.25">
      <c r="A1" s="40" t="s">
        <v>0</v>
      </c>
      <c r="B1" s="40"/>
    </row>
    <row r="3" spans="1:2" x14ac:dyDescent="0.25">
      <c r="A3" s="38" t="s">
        <v>1</v>
      </c>
      <c r="B3" s="38"/>
    </row>
    <row r="4" spans="1:2" ht="39" customHeight="1" x14ac:dyDescent="0.25">
      <c r="B4" s="3" t="s">
        <v>2</v>
      </c>
    </row>
    <row r="6" spans="1:2" x14ac:dyDescent="0.25">
      <c r="A6" s="38" t="s">
        <v>3</v>
      </c>
      <c r="B6" s="38"/>
    </row>
    <row r="7" spans="1:2" ht="51.75" customHeight="1" x14ac:dyDescent="0.25">
      <c r="B7" s="3" t="s">
        <v>4</v>
      </c>
    </row>
    <row r="9" spans="1:2" x14ac:dyDescent="0.25">
      <c r="A9" s="38" t="s">
        <v>5</v>
      </c>
      <c r="B9" s="38"/>
    </row>
    <row r="10" spans="1:2" ht="64.5" customHeight="1" x14ac:dyDescent="0.25">
      <c r="B10" s="3" t="s">
        <v>6</v>
      </c>
    </row>
    <row r="12" spans="1:2" x14ac:dyDescent="0.25">
      <c r="A12" s="38" t="s">
        <v>7</v>
      </c>
      <c r="B12" s="38"/>
    </row>
    <row r="13" spans="1:2" ht="64.5" customHeight="1" x14ac:dyDescent="0.25">
      <c r="B13" s="3" t="s">
        <v>8</v>
      </c>
    </row>
    <row r="15" spans="1:2" x14ac:dyDescent="0.25">
      <c r="A15" s="38" t="s">
        <v>9</v>
      </c>
      <c r="B15" s="38"/>
    </row>
    <row r="16" spans="1:2" ht="39" customHeight="1" x14ac:dyDescent="0.25">
      <c r="B16" s="3" t="s">
        <v>10</v>
      </c>
    </row>
    <row r="18" spans="1:2" x14ac:dyDescent="0.25">
      <c r="A18" s="38" t="s">
        <v>11</v>
      </c>
      <c r="B18" s="38"/>
    </row>
    <row r="19" spans="1:2" ht="64.5" customHeight="1" x14ac:dyDescent="0.25">
      <c r="B19" s="3" t="s">
        <v>12</v>
      </c>
    </row>
    <row r="21" spans="1:2" x14ac:dyDescent="0.25">
      <c r="A21" s="38" t="s">
        <v>13</v>
      </c>
      <c r="B21" s="38"/>
    </row>
    <row r="22" spans="1:2" ht="90.75" customHeight="1" x14ac:dyDescent="0.25">
      <c r="B22" s="3" t="s">
        <v>14</v>
      </c>
    </row>
    <row r="24" spans="1:2" x14ac:dyDescent="0.25">
      <c r="A24" s="38" t="s">
        <v>15</v>
      </c>
      <c r="B24" s="38"/>
    </row>
    <row r="25" spans="1:2" ht="39" customHeight="1" x14ac:dyDescent="0.25">
      <c r="B25" s="3" t="s">
        <v>16</v>
      </c>
    </row>
    <row r="27" spans="1:2" x14ac:dyDescent="0.25">
      <c r="A27" s="38" t="s">
        <v>17</v>
      </c>
      <c r="B27" s="38"/>
    </row>
    <row r="28" spans="1:2" ht="25.5" customHeight="1" x14ac:dyDescent="0.25">
      <c r="B28" s="3" t="s">
        <v>18</v>
      </c>
    </row>
  </sheetData>
  <mergeCells count="10">
    <mergeCell ref="A1:B1"/>
    <mergeCell ref="A3:B3"/>
    <mergeCell ref="A6:B6"/>
    <mergeCell ref="A9:B9"/>
    <mergeCell ref="A12:B12"/>
    <mergeCell ref="A15:B15"/>
    <mergeCell ref="A18:B18"/>
    <mergeCell ref="A21:B21"/>
    <mergeCell ref="A24:B24"/>
    <mergeCell ref="A27:B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showGridLines="0" zoomScaleNormal="100" workbookViewId="0">
      <selection sqref="A1:I1"/>
    </sheetView>
  </sheetViews>
  <sheetFormatPr defaultColWidth="8.7109375" defaultRowHeight="15" x14ac:dyDescent="0.25"/>
  <cols>
    <col min="1" max="1" width="13" customWidth="1"/>
    <col min="2" max="2" width="7" customWidth="1"/>
    <col min="3" max="3" width="52" customWidth="1"/>
    <col min="4" max="4" width="15" customWidth="1"/>
    <col min="5" max="5" width="12" customWidth="1"/>
    <col min="6" max="6" width="16" customWidth="1"/>
    <col min="7" max="7" width="20" customWidth="1"/>
    <col min="8" max="8" width="18" customWidth="1"/>
    <col min="9" max="9" width="16" customWidth="1"/>
  </cols>
  <sheetData>
    <row r="1" spans="1:9" ht="24" customHeight="1" x14ac:dyDescent="0.25">
      <c r="A1" s="40" t="s">
        <v>19</v>
      </c>
      <c r="B1" s="40"/>
      <c r="C1" s="40"/>
      <c r="D1" s="40"/>
      <c r="E1" s="40"/>
      <c r="F1" s="40"/>
      <c r="G1" s="40"/>
      <c r="H1" s="40"/>
      <c r="I1" s="40"/>
    </row>
    <row r="4" spans="1:9" x14ac:dyDescent="0.25">
      <c r="A4" s="38" t="s">
        <v>20</v>
      </c>
      <c r="B4" s="38"/>
      <c r="C4" s="38"/>
      <c r="D4" s="38"/>
      <c r="E4" s="38"/>
      <c r="F4" s="38"/>
      <c r="G4" s="38"/>
      <c r="H4" s="38"/>
      <c r="I4" s="38"/>
    </row>
    <row r="5" spans="1:9" ht="39.75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</row>
    <row r="6" spans="1:9" x14ac:dyDescent="0.25">
      <c r="A6" s="5" t="s">
        <v>30</v>
      </c>
      <c r="B6" s="5">
        <v>1</v>
      </c>
      <c r="C6" s="6">
        <v>0</v>
      </c>
      <c r="D6" s="6">
        <v>180000</v>
      </c>
      <c r="E6" s="7">
        <v>0.04</v>
      </c>
      <c r="F6" s="6">
        <v>0</v>
      </c>
      <c r="G6" s="7">
        <v>0.505</v>
      </c>
      <c r="H6" s="7">
        <v>0.155</v>
      </c>
      <c r="I6" s="7">
        <v>0.34</v>
      </c>
    </row>
    <row r="7" spans="1:9" x14ac:dyDescent="0.25">
      <c r="A7" s="5" t="s">
        <v>30</v>
      </c>
      <c r="B7" s="5">
        <v>2</v>
      </c>
      <c r="C7" s="6">
        <v>180000.01</v>
      </c>
      <c r="D7" s="6">
        <v>360000</v>
      </c>
      <c r="E7" s="7">
        <v>7.2999999999999995E-2</v>
      </c>
      <c r="F7" s="6">
        <v>5940</v>
      </c>
      <c r="G7" s="7">
        <v>0.505</v>
      </c>
      <c r="H7" s="7">
        <v>0.155</v>
      </c>
      <c r="I7" s="7">
        <v>0.34</v>
      </c>
    </row>
    <row r="8" spans="1:9" x14ac:dyDescent="0.25">
      <c r="A8" s="5" t="s">
        <v>30</v>
      </c>
      <c r="B8" s="5">
        <v>3</v>
      </c>
      <c r="C8" s="6">
        <v>360000.01</v>
      </c>
      <c r="D8" s="6">
        <v>720000</v>
      </c>
      <c r="E8" s="7">
        <v>9.5000000000000001E-2</v>
      </c>
      <c r="F8" s="6">
        <v>13860</v>
      </c>
      <c r="G8" s="7">
        <v>0.51</v>
      </c>
      <c r="H8" s="7">
        <v>0.155</v>
      </c>
      <c r="I8" s="7">
        <v>0.33500000000000002</v>
      </c>
    </row>
    <row r="9" spans="1:9" x14ac:dyDescent="0.25">
      <c r="A9" s="5" t="s">
        <v>30</v>
      </c>
      <c r="B9" s="5">
        <v>4</v>
      </c>
      <c r="C9" s="6">
        <v>720000.01</v>
      </c>
      <c r="D9" s="6">
        <v>1800000</v>
      </c>
      <c r="E9" s="7">
        <v>0.107</v>
      </c>
      <c r="F9" s="6">
        <v>22500</v>
      </c>
      <c r="G9" s="7">
        <v>0.51</v>
      </c>
      <c r="H9" s="7">
        <v>0.155</v>
      </c>
      <c r="I9" s="7">
        <v>0.33500000000000002</v>
      </c>
    </row>
    <row r="10" spans="1:9" x14ac:dyDescent="0.25">
      <c r="A10" s="5" t="s">
        <v>30</v>
      </c>
      <c r="B10" s="5">
        <v>5</v>
      </c>
      <c r="C10" s="6">
        <v>1800000.01</v>
      </c>
      <c r="D10" s="6">
        <v>3600000</v>
      </c>
      <c r="E10" s="7">
        <v>0.14299999999999999</v>
      </c>
      <c r="F10" s="6">
        <v>87300</v>
      </c>
      <c r="G10" s="7">
        <v>0.51</v>
      </c>
      <c r="H10" s="7">
        <v>0.155</v>
      </c>
      <c r="I10" s="7">
        <v>0.33500000000000002</v>
      </c>
    </row>
    <row r="11" spans="1:9" x14ac:dyDescent="0.25">
      <c r="A11" s="5" t="s">
        <v>30</v>
      </c>
      <c r="B11" s="5">
        <v>6</v>
      </c>
      <c r="C11" s="6">
        <v>3600000.01</v>
      </c>
      <c r="D11" s="6">
        <v>4800000</v>
      </c>
      <c r="E11" s="7">
        <v>0.19</v>
      </c>
      <c r="F11" s="6">
        <v>378000</v>
      </c>
      <c r="G11" s="7">
        <v>0.65600000000000003</v>
      </c>
      <c r="H11" s="7">
        <v>0.34399999999999997</v>
      </c>
      <c r="I11" s="7">
        <v>0</v>
      </c>
    </row>
    <row r="12" spans="1:9" x14ac:dyDescent="0.25">
      <c r="A12" s="5" t="s">
        <v>31</v>
      </c>
      <c r="B12" s="5">
        <v>1</v>
      </c>
      <c r="C12" s="6">
        <v>0</v>
      </c>
      <c r="D12" s="6">
        <v>180000</v>
      </c>
      <c r="E12" s="7">
        <v>4.4999999999999998E-2</v>
      </c>
      <c r="F12" s="6">
        <v>0</v>
      </c>
      <c r="G12" s="7">
        <v>0.54</v>
      </c>
      <c r="H12" s="7">
        <v>0.14000000000000001</v>
      </c>
      <c r="I12" s="7">
        <v>0.32</v>
      </c>
    </row>
    <row r="13" spans="1:9" x14ac:dyDescent="0.25">
      <c r="A13" s="5" t="s">
        <v>31</v>
      </c>
      <c r="B13" s="5">
        <v>2</v>
      </c>
      <c r="C13" s="6">
        <v>180000.01</v>
      </c>
      <c r="D13" s="6">
        <v>360000</v>
      </c>
      <c r="E13" s="7">
        <v>7.8E-2</v>
      </c>
      <c r="F13" s="6">
        <v>5940</v>
      </c>
      <c r="G13" s="7">
        <v>0.54</v>
      </c>
      <c r="H13" s="7">
        <v>0.14000000000000001</v>
      </c>
      <c r="I13" s="7">
        <v>0.32</v>
      </c>
    </row>
    <row r="14" spans="1:9" x14ac:dyDescent="0.25">
      <c r="A14" s="5" t="s">
        <v>31</v>
      </c>
      <c r="B14" s="5">
        <v>3</v>
      </c>
      <c r="C14" s="6">
        <v>360000.01</v>
      </c>
      <c r="D14" s="6">
        <v>720000</v>
      </c>
      <c r="E14" s="7">
        <v>0.1</v>
      </c>
      <c r="F14" s="6">
        <v>13860</v>
      </c>
      <c r="G14" s="7">
        <v>0.54</v>
      </c>
      <c r="H14" s="7">
        <v>0.14000000000000001</v>
      </c>
      <c r="I14" s="7">
        <v>0.32</v>
      </c>
    </row>
    <row r="15" spans="1:9" x14ac:dyDescent="0.25">
      <c r="A15" s="5" t="s">
        <v>31</v>
      </c>
      <c r="B15" s="5">
        <v>4</v>
      </c>
      <c r="C15" s="6">
        <v>720000.01</v>
      </c>
      <c r="D15" s="6">
        <v>1800000</v>
      </c>
      <c r="E15" s="7">
        <v>0.112</v>
      </c>
      <c r="F15" s="6">
        <v>22500</v>
      </c>
      <c r="G15" s="7">
        <v>0.54</v>
      </c>
      <c r="H15" s="7">
        <v>0.14000000000000001</v>
      </c>
      <c r="I15" s="7">
        <v>0.32</v>
      </c>
    </row>
    <row r="16" spans="1:9" x14ac:dyDescent="0.25">
      <c r="A16" s="5" t="s">
        <v>31</v>
      </c>
      <c r="B16" s="5">
        <v>5</v>
      </c>
      <c r="C16" s="6">
        <v>1800000.01</v>
      </c>
      <c r="D16" s="6">
        <v>3600000</v>
      </c>
      <c r="E16" s="7">
        <v>0.14699999999999999</v>
      </c>
      <c r="F16" s="6">
        <v>85500</v>
      </c>
      <c r="G16" s="7">
        <v>0.54</v>
      </c>
      <c r="H16" s="7">
        <v>0.14000000000000001</v>
      </c>
      <c r="I16" s="7">
        <v>0.32</v>
      </c>
    </row>
    <row r="17" spans="1:9" x14ac:dyDescent="0.25">
      <c r="A17" s="5" t="s">
        <v>31</v>
      </c>
      <c r="B17" s="5">
        <v>6</v>
      </c>
      <c r="C17" s="6">
        <v>3600000.01</v>
      </c>
      <c r="D17" s="6">
        <v>4800000</v>
      </c>
      <c r="E17" s="7">
        <v>0.3</v>
      </c>
      <c r="F17" s="6">
        <v>720000</v>
      </c>
      <c r="G17" s="7">
        <v>0.745</v>
      </c>
      <c r="H17" s="7">
        <v>0.255</v>
      </c>
      <c r="I17" s="7">
        <v>0</v>
      </c>
    </row>
    <row r="18" spans="1:9" x14ac:dyDescent="0.25">
      <c r="A18" s="5" t="s">
        <v>32</v>
      </c>
      <c r="B18" s="5">
        <v>1</v>
      </c>
      <c r="C18" s="6">
        <v>0</v>
      </c>
      <c r="D18" s="6">
        <v>180000</v>
      </c>
      <c r="E18" s="7">
        <v>0.06</v>
      </c>
      <c r="F18" s="6">
        <v>0</v>
      </c>
      <c r="G18" s="7">
        <v>0.50900000000000001</v>
      </c>
      <c r="H18" s="7">
        <v>0.156</v>
      </c>
      <c r="I18" s="7">
        <v>0.33500000000000002</v>
      </c>
    </row>
    <row r="19" spans="1:9" x14ac:dyDescent="0.25">
      <c r="A19" s="5" t="s">
        <v>32</v>
      </c>
      <c r="B19" s="5">
        <v>2</v>
      </c>
      <c r="C19" s="6">
        <v>180000.01</v>
      </c>
      <c r="D19" s="6">
        <v>360000</v>
      </c>
      <c r="E19" s="7">
        <v>0.112</v>
      </c>
      <c r="F19" s="6">
        <v>9360</v>
      </c>
      <c r="G19" s="7">
        <v>0.50900000000000001</v>
      </c>
      <c r="H19" s="7">
        <v>0.17100000000000001</v>
      </c>
      <c r="I19" s="7">
        <v>0.32</v>
      </c>
    </row>
    <row r="20" spans="1:9" x14ac:dyDescent="0.25">
      <c r="A20" s="5" t="s">
        <v>32</v>
      </c>
      <c r="B20" s="5">
        <v>3</v>
      </c>
      <c r="C20" s="6">
        <v>360000.01</v>
      </c>
      <c r="D20" s="6">
        <v>720000</v>
      </c>
      <c r="E20" s="7">
        <v>0.13500000000000001</v>
      </c>
      <c r="F20" s="6">
        <v>17640</v>
      </c>
      <c r="G20" s="7">
        <v>0.50900000000000001</v>
      </c>
      <c r="H20" s="7">
        <v>0.16600000000000001</v>
      </c>
      <c r="I20" s="7">
        <v>0.32500000000000001</v>
      </c>
    </row>
    <row r="21" spans="1:9" x14ac:dyDescent="0.25">
      <c r="A21" s="5" t="s">
        <v>32</v>
      </c>
      <c r="B21" s="5">
        <v>4</v>
      </c>
      <c r="C21" s="6">
        <v>720000.01</v>
      </c>
      <c r="D21" s="6">
        <v>1800000</v>
      </c>
      <c r="E21" s="7">
        <v>0.16</v>
      </c>
      <c r="F21" s="6">
        <v>35640</v>
      </c>
      <c r="G21" s="7">
        <v>0.50900000000000001</v>
      </c>
      <c r="H21" s="7">
        <v>0.16600000000000001</v>
      </c>
      <c r="I21" s="7">
        <v>0.32500000000000001</v>
      </c>
    </row>
    <row r="22" spans="1:9" x14ac:dyDescent="0.25">
      <c r="A22" s="5" t="s">
        <v>32</v>
      </c>
      <c r="B22" s="5">
        <v>5</v>
      </c>
      <c r="C22" s="6">
        <v>1800000.01</v>
      </c>
      <c r="D22" s="6">
        <v>3600000</v>
      </c>
      <c r="E22" s="7">
        <v>0.21</v>
      </c>
      <c r="F22" s="6">
        <v>125640</v>
      </c>
      <c r="G22" s="7">
        <v>0.49399999999999999</v>
      </c>
      <c r="H22" s="7">
        <v>0.156</v>
      </c>
      <c r="I22" s="7">
        <v>0.35</v>
      </c>
    </row>
    <row r="23" spans="1:9" x14ac:dyDescent="0.25">
      <c r="A23" s="5" t="s">
        <v>32</v>
      </c>
      <c r="B23" s="5">
        <v>6</v>
      </c>
      <c r="C23" s="6">
        <v>3600000.01</v>
      </c>
      <c r="D23" s="6">
        <v>4800000</v>
      </c>
      <c r="E23" s="7">
        <v>0.33</v>
      </c>
      <c r="F23" s="6">
        <v>648000</v>
      </c>
      <c r="G23" s="7">
        <v>0.80500000000000005</v>
      </c>
      <c r="H23" s="7">
        <v>0.19500000000000001</v>
      </c>
      <c r="I23" s="7">
        <v>0</v>
      </c>
    </row>
    <row r="24" spans="1:9" x14ac:dyDescent="0.25">
      <c r="A24" s="5" t="s">
        <v>33</v>
      </c>
      <c r="B24" s="5">
        <v>1</v>
      </c>
      <c r="C24" s="6">
        <v>0</v>
      </c>
      <c r="D24" s="6">
        <v>180000</v>
      </c>
      <c r="E24" s="7">
        <v>4.4999999999999998E-2</v>
      </c>
      <c r="F24" s="6">
        <v>0</v>
      </c>
      <c r="G24" s="7">
        <v>0.34</v>
      </c>
      <c r="H24" s="7">
        <v>0.215</v>
      </c>
      <c r="I24" s="7">
        <v>0.44500000000000001</v>
      </c>
    </row>
    <row r="25" spans="1:9" x14ac:dyDescent="0.25">
      <c r="A25" s="5" t="s">
        <v>33</v>
      </c>
      <c r="B25" s="5">
        <v>2</v>
      </c>
      <c r="C25" s="6">
        <v>180000.01</v>
      </c>
      <c r="D25" s="6">
        <v>360000</v>
      </c>
      <c r="E25" s="7">
        <v>0.09</v>
      </c>
      <c r="F25" s="6">
        <v>8100</v>
      </c>
      <c r="G25" s="7">
        <v>0.35</v>
      </c>
      <c r="H25" s="7">
        <v>0.25</v>
      </c>
      <c r="I25" s="7">
        <v>0.4</v>
      </c>
    </row>
    <row r="26" spans="1:9" x14ac:dyDescent="0.25">
      <c r="A26" s="5" t="s">
        <v>33</v>
      </c>
      <c r="B26" s="5">
        <v>3</v>
      </c>
      <c r="C26" s="6">
        <v>360000.01</v>
      </c>
      <c r="D26" s="6">
        <v>720000</v>
      </c>
      <c r="E26" s="7">
        <v>0.10199999999999999</v>
      </c>
      <c r="F26" s="6">
        <v>12420</v>
      </c>
      <c r="G26" s="7">
        <v>0.36</v>
      </c>
      <c r="H26" s="7">
        <v>0.24</v>
      </c>
      <c r="I26" s="7">
        <v>0.4</v>
      </c>
    </row>
    <row r="27" spans="1:9" x14ac:dyDescent="0.25">
      <c r="A27" s="5" t="s">
        <v>33</v>
      </c>
      <c r="B27" s="5">
        <v>4</v>
      </c>
      <c r="C27" s="6">
        <v>720000.01</v>
      </c>
      <c r="D27" s="6">
        <v>1800000</v>
      </c>
      <c r="E27" s="7">
        <v>0.14000000000000001</v>
      </c>
      <c r="F27" s="6">
        <v>39780</v>
      </c>
      <c r="G27" s="7">
        <v>0.37</v>
      </c>
      <c r="H27" s="7">
        <v>0.23</v>
      </c>
      <c r="I27" s="7">
        <v>0.4</v>
      </c>
    </row>
    <row r="28" spans="1:9" x14ac:dyDescent="0.25">
      <c r="A28" s="5" t="s">
        <v>33</v>
      </c>
      <c r="B28" s="5">
        <v>5</v>
      </c>
      <c r="C28" s="6">
        <v>1800000.01</v>
      </c>
      <c r="D28" s="6">
        <v>3600000</v>
      </c>
      <c r="E28" s="7">
        <v>0.22</v>
      </c>
      <c r="F28" s="6">
        <v>183780</v>
      </c>
      <c r="G28" s="7">
        <v>0.38</v>
      </c>
      <c r="H28" s="7">
        <v>0.22</v>
      </c>
      <c r="I28" s="7">
        <v>0.4</v>
      </c>
    </row>
    <row r="29" spans="1:9" x14ac:dyDescent="0.25">
      <c r="A29" s="5" t="s">
        <v>33</v>
      </c>
      <c r="B29" s="5">
        <v>6</v>
      </c>
      <c r="C29" s="6">
        <v>3600000.01</v>
      </c>
      <c r="D29" s="6">
        <v>4800000</v>
      </c>
      <c r="E29" s="7">
        <v>0.33</v>
      </c>
      <c r="F29" s="6">
        <v>828000</v>
      </c>
      <c r="G29" s="7">
        <v>0.75</v>
      </c>
      <c r="H29" s="7">
        <v>0.25</v>
      </c>
      <c r="I29" s="7">
        <v>0</v>
      </c>
    </row>
    <row r="30" spans="1:9" x14ac:dyDescent="0.25">
      <c r="A30" s="5" t="s">
        <v>34</v>
      </c>
      <c r="B30" s="5">
        <v>1</v>
      </c>
      <c r="C30" s="6">
        <v>0</v>
      </c>
      <c r="D30" s="6">
        <v>180000</v>
      </c>
      <c r="E30" s="7">
        <v>0.155</v>
      </c>
      <c r="F30" s="6">
        <v>0</v>
      </c>
      <c r="G30" s="7">
        <v>0.6885</v>
      </c>
      <c r="H30" s="7">
        <v>0.17150000000000001</v>
      </c>
      <c r="I30" s="7">
        <v>0.14000000000000001</v>
      </c>
    </row>
    <row r="31" spans="1:9" x14ac:dyDescent="0.25">
      <c r="A31" s="5" t="s">
        <v>34</v>
      </c>
      <c r="B31" s="5">
        <v>2</v>
      </c>
      <c r="C31" s="6">
        <v>180000.01</v>
      </c>
      <c r="D31" s="6">
        <v>360000</v>
      </c>
      <c r="E31" s="7">
        <v>0.18</v>
      </c>
      <c r="F31" s="6">
        <v>4500</v>
      </c>
      <c r="G31" s="7">
        <v>0.65849999999999997</v>
      </c>
      <c r="H31" s="7">
        <v>0.17150000000000001</v>
      </c>
      <c r="I31" s="7">
        <v>0.17</v>
      </c>
    </row>
    <row r="32" spans="1:9" x14ac:dyDescent="0.25">
      <c r="A32" s="5" t="s">
        <v>34</v>
      </c>
      <c r="B32" s="5">
        <v>3</v>
      </c>
      <c r="C32" s="6">
        <v>360000.01</v>
      </c>
      <c r="D32" s="6">
        <v>720000</v>
      </c>
      <c r="E32" s="7">
        <v>0.19500000000000001</v>
      </c>
      <c r="F32" s="6">
        <v>9900</v>
      </c>
      <c r="G32" s="7">
        <v>0.62849999999999995</v>
      </c>
      <c r="H32" s="7">
        <v>0.18149999999999999</v>
      </c>
      <c r="I32" s="7">
        <v>0.19</v>
      </c>
    </row>
    <row r="33" spans="1:9" x14ac:dyDescent="0.25">
      <c r="A33" s="5" t="s">
        <v>34</v>
      </c>
      <c r="B33" s="5">
        <v>4</v>
      </c>
      <c r="C33" s="6">
        <v>720000.01</v>
      </c>
      <c r="D33" s="6">
        <v>1800000</v>
      </c>
      <c r="E33" s="7">
        <v>0.20499999999999999</v>
      </c>
      <c r="F33" s="6">
        <v>17100</v>
      </c>
      <c r="G33" s="7">
        <v>0.59850000000000003</v>
      </c>
      <c r="H33" s="7">
        <v>0.1915</v>
      </c>
      <c r="I33" s="7">
        <v>0.21</v>
      </c>
    </row>
    <row r="34" spans="1:9" x14ac:dyDescent="0.25">
      <c r="A34" s="5" t="s">
        <v>34</v>
      </c>
      <c r="B34" s="5">
        <v>5</v>
      </c>
      <c r="C34" s="6">
        <v>1800000.01</v>
      </c>
      <c r="D34" s="6">
        <v>3600000</v>
      </c>
      <c r="E34" s="7">
        <v>0.23</v>
      </c>
      <c r="F34" s="6">
        <v>62100</v>
      </c>
      <c r="G34" s="7">
        <v>0.59350000000000003</v>
      </c>
      <c r="H34" s="7">
        <v>0.17150000000000001</v>
      </c>
      <c r="I34" s="7">
        <v>0.23499999999999999</v>
      </c>
    </row>
    <row r="35" spans="1:9" x14ac:dyDescent="0.25">
      <c r="A35" s="5" t="s">
        <v>34</v>
      </c>
      <c r="B35" s="5">
        <v>6</v>
      </c>
      <c r="C35" s="6">
        <v>3600000.01</v>
      </c>
      <c r="D35" s="6">
        <v>4800000</v>
      </c>
      <c r="E35" s="7">
        <v>0.30499999999999999</v>
      </c>
      <c r="F35" s="6">
        <v>540000</v>
      </c>
      <c r="G35" s="7">
        <v>0.8</v>
      </c>
      <c r="H35" s="7">
        <v>0.2</v>
      </c>
      <c r="I35" s="7">
        <v>0</v>
      </c>
    </row>
    <row r="37" spans="1:9" ht="25.5" customHeight="1" x14ac:dyDescent="0.25">
      <c r="A37" s="39" t="s">
        <v>35</v>
      </c>
      <c r="B37" s="39"/>
      <c r="C37" s="39"/>
      <c r="D37" s="39"/>
      <c r="E37" s="39"/>
      <c r="F37" s="39"/>
      <c r="G37" s="39"/>
      <c r="H37" s="39"/>
      <c r="I37" s="39"/>
    </row>
    <row r="39" spans="1:9" x14ac:dyDescent="0.25">
      <c r="A39" s="38" t="s">
        <v>36</v>
      </c>
      <c r="B39" s="38"/>
      <c r="C39" s="38"/>
      <c r="D39" s="38"/>
      <c r="E39" s="38"/>
      <c r="F39" s="38"/>
      <c r="G39" s="38"/>
      <c r="H39" s="38"/>
      <c r="I39" s="38"/>
    </row>
    <row r="40" spans="1:9" ht="27.75" customHeight="1" x14ac:dyDescent="0.25">
      <c r="A40" s="4" t="s">
        <v>37</v>
      </c>
      <c r="B40" s="4" t="s">
        <v>38</v>
      </c>
      <c r="C40" s="4" t="s">
        <v>39</v>
      </c>
    </row>
    <row r="41" spans="1:9" ht="15" customHeight="1" x14ac:dyDescent="0.25">
      <c r="A41" s="8" t="s">
        <v>40</v>
      </c>
      <c r="B41" s="9">
        <v>1</v>
      </c>
      <c r="C41" s="9">
        <v>0</v>
      </c>
      <c r="D41" s="39" t="s">
        <v>41</v>
      </c>
      <c r="E41" s="39"/>
      <c r="F41" s="39"/>
      <c r="G41" s="39"/>
      <c r="H41" s="39"/>
      <c r="I41" s="39"/>
    </row>
    <row r="42" spans="1:9" x14ac:dyDescent="0.25">
      <c r="A42" s="8" t="s">
        <v>42</v>
      </c>
      <c r="B42" s="9">
        <v>1</v>
      </c>
      <c r="C42" s="9">
        <v>0</v>
      </c>
      <c r="D42" s="39"/>
      <c r="E42" s="39"/>
      <c r="F42" s="39"/>
      <c r="G42" s="39"/>
      <c r="H42" s="39"/>
      <c r="I42" s="39"/>
    </row>
    <row r="43" spans="1:9" x14ac:dyDescent="0.25">
      <c r="A43" s="8" t="s">
        <v>43</v>
      </c>
      <c r="B43" s="9">
        <v>1</v>
      </c>
      <c r="C43" s="9">
        <v>0.1</v>
      </c>
      <c r="D43" s="39"/>
      <c r="E43" s="39"/>
      <c r="F43" s="39"/>
      <c r="G43" s="39"/>
      <c r="H43" s="39"/>
      <c r="I43" s="39"/>
    </row>
    <row r="44" spans="1:9" x14ac:dyDescent="0.25">
      <c r="A44" s="8" t="s">
        <v>44</v>
      </c>
      <c r="B44" s="9">
        <v>1</v>
      </c>
      <c r="C44" s="9">
        <v>0.2</v>
      </c>
    </row>
    <row r="45" spans="1:9" x14ac:dyDescent="0.25">
      <c r="A45" s="8" t="s">
        <v>45</v>
      </c>
      <c r="B45" s="9">
        <v>1</v>
      </c>
      <c r="C45" s="9">
        <v>0.3</v>
      </c>
    </row>
    <row r="46" spans="1:9" x14ac:dyDescent="0.25">
      <c r="A46" s="8" t="s">
        <v>46</v>
      </c>
      <c r="B46" s="9">
        <v>1</v>
      </c>
      <c r="C46" s="9">
        <v>0.4</v>
      </c>
    </row>
    <row r="47" spans="1:9" x14ac:dyDescent="0.25">
      <c r="A47" s="8" t="s">
        <v>47</v>
      </c>
      <c r="B47" s="9">
        <v>1</v>
      </c>
      <c r="C47" s="9">
        <v>1</v>
      </c>
    </row>
    <row r="50" spans="1:9" x14ac:dyDescent="0.25">
      <c r="A50" s="38" t="s">
        <v>48</v>
      </c>
      <c r="B50" s="38"/>
      <c r="C50" s="38"/>
      <c r="D50" s="38"/>
      <c r="E50" s="38"/>
      <c r="F50" s="38"/>
      <c r="G50" s="38"/>
      <c r="H50" s="38"/>
      <c r="I50" s="38"/>
    </row>
    <row r="51" spans="1:9" ht="15" customHeight="1" x14ac:dyDescent="0.25">
      <c r="A51" s="10" t="s">
        <v>49</v>
      </c>
      <c r="B51" s="11">
        <v>8.7999999999999995E-2</v>
      </c>
      <c r="C51" s="39" t="s">
        <v>50</v>
      </c>
      <c r="D51" s="39"/>
      <c r="E51" s="39"/>
      <c r="F51" s="39"/>
      <c r="G51" s="39"/>
      <c r="H51" s="39"/>
      <c r="I51" s="39"/>
    </row>
    <row r="52" spans="1:9" x14ac:dyDescent="0.25">
      <c r="A52" s="10" t="s">
        <v>51</v>
      </c>
      <c r="B52" s="11">
        <v>0.17699999999999999</v>
      </c>
      <c r="C52" s="39"/>
      <c r="D52" s="39"/>
      <c r="E52" s="39"/>
      <c r="F52" s="39"/>
      <c r="G52" s="39"/>
      <c r="H52" s="39"/>
      <c r="I52" s="39"/>
    </row>
    <row r="53" spans="1:9" x14ac:dyDescent="0.25">
      <c r="A53" s="10" t="s">
        <v>52</v>
      </c>
      <c r="B53" s="12">
        <f>B51+B52</f>
        <v>0.26500000000000001</v>
      </c>
      <c r="C53" s="39"/>
      <c r="D53" s="39"/>
      <c r="E53" s="39"/>
      <c r="F53" s="39"/>
      <c r="G53" s="39"/>
      <c r="H53" s="39"/>
      <c r="I53" s="39"/>
    </row>
    <row r="55" spans="1:9" x14ac:dyDescent="0.25">
      <c r="A55" s="38" t="s">
        <v>53</v>
      </c>
      <c r="B55" s="38"/>
      <c r="C55" s="38"/>
      <c r="D55" s="38"/>
      <c r="E55" s="38"/>
      <c r="F55" s="38"/>
      <c r="G55" s="38"/>
      <c r="H55" s="38"/>
      <c r="I55" s="38"/>
    </row>
    <row r="56" spans="1:9" ht="39.75" customHeight="1" x14ac:dyDescent="0.25">
      <c r="A56" s="4" t="s">
        <v>54</v>
      </c>
      <c r="B56" s="4" t="s">
        <v>55</v>
      </c>
      <c r="C56" s="4" t="s">
        <v>56</v>
      </c>
      <c r="D56" s="4" t="s">
        <v>57</v>
      </c>
      <c r="E56" s="4" t="s">
        <v>58</v>
      </c>
      <c r="F56" s="4" t="s">
        <v>59</v>
      </c>
    </row>
    <row r="57" spans="1:9" x14ac:dyDescent="0.25">
      <c r="A57" s="13" t="s">
        <v>60</v>
      </c>
      <c r="B57" s="13" t="s">
        <v>61</v>
      </c>
      <c r="C57" s="14" t="s">
        <v>62</v>
      </c>
      <c r="D57" s="15">
        <v>0</v>
      </c>
      <c r="E57" s="15">
        <v>0</v>
      </c>
      <c r="F57" s="14" t="s">
        <v>63</v>
      </c>
    </row>
    <row r="58" spans="1:9" x14ac:dyDescent="0.25">
      <c r="A58" s="13" t="s">
        <v>64</v>
      </c>
      <c r="B58" s="13" t="s">
        <v>65</v>
      </c>
      <c r="C58" s="14" t="s">
        <v>66</v>
      </c>
      <c r="D58" s="15">
        <v>0.6</v>
      </c>
      <c r="E58" s="15">
        <v>0.6</v>
      </c>
      <c r="F58" s="14" t="s">
        <v>67</v>
      </c>
    </row>
    <row r="59" spans="1:9" x14ac:dyDescent="0.25">
      <c r="A59" s="13" t="s">
        <v>68</v>
      </c>
      <c r="B59" s="13" t="s">
        <v>65</v>
      </c>
      <c r="C59" s="14" t="s">
        <v>69</v>
      </c>
      <c r="D59" s="15">
        <v>0.6</v>
      </c>
      <c r="E59" s="15">
        <v>0.6</v>
      </c>
      <c r="F59" s="14" t="s">
        <v>67</v>
      </c>
    </row>
    <row r="60" spans="1:9" x14ac:dyDescent="0.25">
      <c r="A60" s="13" t="s">
        <v>70</v>
      </c>
      <c r="B60" s="13" t="s">
        <v>65</v>
      </c>
      <c r="C60" s="14" t="s">
        <v>71</v>
      </c>
      <c r="D60" s="15">
        <v>0.6</v>
      </c>
      <c r="E60" s="15">
        <v>0.6</v>
      </c>
      <c r="F60" s="14" t="s">
        <v>72</v>
      </c>
    </row>
    <row r="61" spans="1:9" x14ac:dyDescent="0.25">
      <c r="A61" s="13" t="s">
        <v>73</v>
      </c>
      <c r="B61" s="13" t="s">
        <v>65</v>
      </c>
      <c r="C61" s="14" t="s">
        <v>74</v>
      </c>
      <c r="D61" s="15">
        <v>0.6</v>
      </c>
      <c r="E61" s="15">
        <v>0.6</v>
      </c>
      <c r="F61" s="14" t="s">
        <v>75</v>
      </c>
    </row>
    <row r="62" spans="1:9" x14ac:dyDescent="0.25">
      <c r="A62" s="13" t="s">
        <v>76</v>
      </c>
      <c r="B62" s="13" t="s">
        <v>65</v>
      </c>
      <c r="C62" s="14" t="s">
        <v>77</v>
      </c>
      <c r="D62" s="15">
        <v>0.3</v>
      </c>
      <c r="E62" s="15">
        <v>0.3</v>
      </c>
      <c r="F62" s="14" t="s">
        <v>78</v>
      </c>
    </row>
    <row r="63" spans="1:9" x14ac:dyDescent="0.25">
      <c r="A63" s="13" t="s">
        <v>79</v>
      </c>
      <c r="B63" s="13" t="s">
        <v>65</v>
      </c>
      <c r="C63" s="14" t="s">
        <v>80</v>
      </c>
      <c r="D63" s="15">
        <v>1</v>
      </c>
      <c r="E63" s="15">
        <v>1</v>
      </c>
      <c r="F63" s="14" t="s">
        <v>81</v>
      </c>
    </row>
    <row r="64" spans="1:9" x14ac:dyDescent="0.25">
      <c r="A64" s="13" t="s">
        <v>82</v>
      </c>
      <c r="B64" s="13" t="s">
        <v>65</v>
      </c>
      <c r="C64" s="14" t="s">
        <v>83</v>
      </c>
      <c r="D64" s="15">
        <v>0.4</v>
      </c>
      <c r="E64" s="15">
        <v>0.4</v>
      </c>
      <c r="F64" s="14" t="s">
        <v>84</v>
      </c>
    </row>
    <row r="65" spans="1:9" x14ac:dyDescent="0.25">
      <c r="A65" s="13" t="s">
        <v>85</v>
      </c>
      <c r="B65" s="13" t="s">
        <v>65</v>
      </c>
      <c r="C65" s="14" t="s">
        <v>86</v>
      </c>
      <c r="D65" s="15">
        <v>0.4</v>
      </c>
      <c r="E65" s="15">
        <v>0.4</v>
      </c>
      <c r="F65" s="14" t="s">
        <v>87</v>
      </c>
    </row>
    <row r="66" spans="1:9" x14ac:dyDescent="0.25">
      <c r="A66" s="13"/>
      <c r="B66" s="13"/>
      <c r="C66" s="14"/>
      <c r="D66" s="15">
        <v>0</v>
      </c>
      <c r="E66" s="15">
        <v>0</v>
      </c>
      <c r="F66" s="14"/>
    </row>
    <row r="68" spans="1:9" ht="15" customHeight="1" x14ac:dyDescent="0.25">
      <c r="A68" s="39" t="s">
        <v>88</v>
      </c>
      <c r="B68" s="39"/>
      <c r="C68" s="39"/>
      <c r="D68" s="39"/>
      <c r="E68" s="39"/>
      <c r="F68" s="39"/>
      <c r="G68" s="39"/>
      <c r="H68" s="39"/>
      <c r="I68" s="39"/>
    </row>
    <row r="69" spans="1:9" x14ac:dyDescent="0.25">
      <c r="A69" s="39"/>
      <c r="B69" s="39"/>
      <c r="C69" s="39"/>
      <c r="D69" s="39"/>
      <c r="E69" s="39"/>
      <c r="F69" s="39"/>
      <c r="G69" s="39"/>
      <c r="H69" s="39"/>
      <c r="I69" s="39"/>
    </row>
  </sheetData>
  <mergeCells count="9">
    <mergeCell ref="A50:I50"/>
    <mergeCell ref="C51:I53"/>
    <mergeCell ref="A55:I55"/>
    <mergeCell ref="A68:I69"/>
    <mergeCell ref="A1:I1"/>
    <mergeCell ref="A4:I4"/>
    <mergeCell ref="A37:I37"/>
    <mergeCell ref="A39:I39"/>
    <mergeCell ref="D41:I4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showGridLines="0" topLeftCell="A7" zoomScaleNormal="100" workbookViewId="0">
      <selection sqref="A1:H1"/>
    </sheetView>
  </sheetViews>
  <sheetFormatPr defaultColWidth="8.7109375" defaultRowHeight="15" x14ac:dyDescent="0.25"/>
  <cols>
    <col min="1" max="1" width="8" customWidth="1"/>
    <col min="2" max="3" width="16" customWidth="1"/>
    <col min="4" max="4" width="12" customWidth="1"/>
    <col min="5" max="5" width="16" customWidth="1"/>
    <col min="6" max="6" width="18" customWidth="1"/>
    <col min="7" max="7" width="20" customWidth="1"/>
    <col min="8" max="8" width="22" customWidth="1"/>
  </cols>
  <sheetData>
    <row r="1" spans="1:8" ht="24" customHeight="1" x14ac:dyDescent="0.25">
      <c r="A1" s="40" t="s">
        <v>89</v>
      </c>
      <c r="B1" s="40"/>
      <c r="C1" s="40"/>
      <c r="D1" s="40"/>
      <c r="E1" s="40"/>
      <c r="F1" s="40"/>
      <c r="G1" s="40"/>
      <c r="H1" s="40"/>
    </row>
    <row r="3" spans="1:8" ht="15" customHeight="1" x14ac:dyDescent="0.25">
      <c r="A3" s="10" t="s">
        <v>90</v>
      </c>
      <c r="B3" s="16">
        <f>Dados!$B$6</f>
        <v>822015.76</v>
      </c>
      <c r="C3" s="39" t="s">
        <v>91</v>
      </c>
      <c r="D3" s="39"/>
      <c r="E3" s="39"/>
      <c r="F3" s="39"/>
      <c r="G3" s="39"/>
      <c r="H3" s="39"/>
    </row>
    <row r="4" spans="1:8" x14ac:dyDescent="0.25">
      <c r="C4" s="39"/>
      <c r="D4" s="39"/>
      <c r="E4" s="39"/>
      <c r="F4" s="39"/>
      <c r="G4" s="39"/>
      <c r="H4" s="39"/>
    </row>
    <row r="6" spans="1:8" x14ac:dyDescent="0.25">
      <c r="A6" s="42" t="s">
        <v>92</v>
      </c>
      <c r="B6" s="42"/>
      <c r="C6" s="42"/>
      <c r="D6" s="42"/>
      <c r="E6" s="42"/>
      <c r="F6" s="42"/>
      <c r="G6" s="42"/>
      <c r="H6" s="42"/>
    </row>
    <row r="7" spans="1:8" ht="39.75" customHeight="1" x14ac:dyDescent="0.25">
      <c r="A7" s="4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93</v>
      </c>
      <c r="G7" s="4" t="s">
        <v>94</v>
      </c>
      <c r="H7" s="4" t="s">
        <v>95</v>
      </c>
    </row>
    <row r="8" spans="1:8" x14ac:dyDescent="0.25">
      <c r="A8" s="17">
        <f>Parametros!$B$6</f>
        <v>1</v>
      </c>
      <c r="B8" s="18">
        <f>Parametros!$C$6</f>
        <v>0</v>
      </c>
      <c r="C8" s="18">
        <f>Parametros!$D$6</f>
        <v>180000</v>
      </c>
      <c r="D8" s="19">
        <f>Parametros!$E$6</f>
        <v>0.04</v>
      </c>
      <c r="E8" s="18">
        <f>Parametros!$F$6</f>
        <v>0</v>
      </c>
      <c r="F8" s="7">
        <f>(Parametros!$D$6*Parametros!$E$6-Parametros!$F$6)/Parametros!$D$6</f>
        <v>0.04</v>
      </c>
      <c r="G8" s="12" t="str">
        <f>IF(AND(Dados!$B$6&gt;=Parametros!$C$6,Dados!$B$6&lt;=Parametros!$D$6),MAX((Dados!$B$6*Parametros!$E$6-Parametros!$F$6)/Dados!$B$6,0),"")</f>
        <v/>
      </c>
      <c r="H8" s="20" t="str">
        <f>IF(AND(Dados!$B$6&gt;=Parametros!$C$6,Dados!$B$6&lt;=Parametros!$D$6),"◄ FAIXA APLICADA","")</f>
        <v/>
      </c>
    </row>
    <row r="9" spans="1:8" x14ac:dyDescent="0.25">
      <c r="A9" s="17">
        <f>Parametros!$B$7</f>
        <v>2</v>
      </c>
      <c r="B9" s="18">
        <f>Parametros!$C$7</f>
        <v>180000.01</v>
      </c>
      <c r="C9" s="18">
        <f>Parametros!$D$7</f>
        <v>360000</v>
      </c>
      <c r="D9" s="19">
        <f>Parametros!$E$7</f>
        <v>7.2999999999999995E-2</v>
      </c>
      <c r="E9" s="18">
        <f>Parametros!$F$7</f>
        <v>5940</v>
      </c>
      <c r="F9" s="7">
        <f>(Parametros!$D$7*Parametros!$E$7-Parametros!$F$7)/Parametros!$D$7</f>
        <v>5.6500000000000002E-2</v>
      </c>
      <c r="G9" s="12" t="str">
        <f>IF(AND(Dados!$B$6&gt;=Parametros!$C$7,Dados!$B$6&lt;=Parametros!$D$7),MAX((Dados!$B$6*Parametros!$E$7-Parametros!$F$7)/Dados!$B$6,0),"")</f>
        <v/>
      </c>
      <c r="H9" s="20" t="str">
        <f>IF(AND(Dados!$B$6&gt;=Parametros!$C$7,Dados!$B$6&lt;=Parametros!$D$7),"◄ FAIXA APLICADA","")</f>
        <v/>
      </c>
    </row>
    <row r="10" spans="1:8" x14ac:dyDescent="0.25">
      <c r="A10" s="17">
        <f>Parametros!$B$8</f>
        <v>3</v>
      </c>
      <c r="B10" s="18">
        <f>Parametros!$C$8</f>
        <v>360000.01</v>
      </c>
      <c r="C10" s="18">
        <f>Parametros!$D$8</f>
        <v>720000</v>
      </c>
      <c r="D10" s="19">
        <f>Parametros!$E$8</f>
        <v>9.5000000000000001E-2</v>
      </c>
      <c r="E10" s="18">
        <f>Parametros!$F$8</f>
        <v>13860</v>
      </c>
      <c r="F10" s="7">
        <f>(Parametros!$D$8*Parametros!$E$8-Parametros!$F$8)/Parametros!$D$8</f>
        <v>7.5749999999999998E-2</v>
      </c>
      <c r="G10" s="12" t="str">
        <f>IF(AND(Dados!$B$6&gt;=Parametros!$C$8,Dados!$B$6&lt;=Parametros!$D$8),MAX((Dados!$B$6*Parametros!$E$8-Parametros!$F$8)/Dados!$B$6,0),"")</f>
        <v/>
      </c>
      <c r="H10" s="20" t="str">
        <f>IF(AND(Dados!$B$6&gt;=Parametros!$C$8,Dados!$B$6&lt;=Parametros!$D$8),"◄ FAIXA APLICADA","")</f>
        <v/>
      </c>
    </row>
    <row r="11" spans="1:8" x14ac:dyDescent="0.25">
      <c r="A11" s="17">
        <f>Parametros!$B$9</f>
        <v>4</v>
      </c>
      <c r="B11" s="18">
        <f>Parametros!$C$9</f>
        <v>720000.01</v>
      </c>
      <c r="C11" s="18">
        <f>Parametros!$D$9</f>
        <v>1800000</v>
      </c>
      <c r="D11" s="19">
        <f>Parametros!$E$9</f>
        <v>0.107</v>
      </c>
      <c r="E11" s="18">
        <f>Parametros!$F$9</f>
        <v>22500</v>
      </c>
      <c r="F11" s="7">
        <f>(Parametros!$D$9*Parametros!$E$9-Parametros!$F$9)/Parametros!$D$9</f>
        <v>9.4500000000000001E-2</v>
      </c>
      <c r="G11" s="12">
        <f>IF(AND(Dados!$B$6&gt;=Parametros!$C$9,Dados!$B$6&lt;=Parametros!$D$9),MAX((Dados!$B$6*Parametros!$E$9-Parametros!$F$9)/Dados!$B$6,0),"")</f>
        <v>7.9628262017750112E-2</v>
      </c>
      <c r="H11" s="20" t="str">
        <f>IF(AND(Dados!$B$6&gt;=Parametros!$C$9,Dados!$B$6&lt;=Parametros!$D$9),"◄ FAIXA APLICADA","")</f>
        <v>◄ FAIXA APLICADA</v>
      </c>
    </row>
    <row r="12" spans="1:8" x14ac:dyDescent="0.25">
      <c r="A12" s="17">
        <f>Parametros!$B$10</f>
        <v>5</v>
      </c>
      <c r="B12" s="18">
        <f>Parametros!$C$10</f>
        <v>1800000.01</v>
      </c>
      <c r="C12" s="18">
        <f>Parametros!$D$10</f>
        <v>3600000</v>
      </c>
      <c r="D12" s="19">
        <f>Parametros!$E$10</f>
        <v>0.14299999999999999</v>
      </c>
      <c r="E12" s="18">
        <f>Parametros!$F$10</f>
        <v>87300</v>
      </c>
      <c r="F12" s="7">
        <f>(Parametros!$D$10*Parametros!$E$10-Parametros!$F$10)/Parametros!$D$10</f>
        <v>0.11874999999999998</v>
      </c>
      <c r="G12" s="12" t="str">
        <f>IF(AND(Dados!$B$6&gt;=Parametros!$C$10,Dados!$B$6&lt;=Parametros!$D$10),MAX((Dados!$B$6*Parametros!$E$10-Parametros!$F$10)/Dados!$B$6,0),"")</f>
        <v/>
      </c>
      <c r="H12" s="20" t="str">
        <f>IF(AND(Dados!$B$6&gt;=Parametros!$C$10,Dados!$B$6&lt;=Parametros!$D$10),"◄ FAIXA APLICADA","")</f>
        <v/>
      </c>
    </row>
    <row r="13" spans="1:8" x14ac:dyDescent="0.25">
      <c r="A13" s="17">
        <f>Parametros!$B$11</f>
        <v>6</v>
      </c>
      <c r="B13" s="18">
        <f>Parametros!$C$11</f>
        <v>3600000.01</v>
      </c>
      <c r="C13" s="18">
        <f>Parametros!$D$11</f>
        <v>4800000</v>
      </c>
      <c r="D13" s="19">
        <f>Parametros!$E$11</f>
        <v>0.19</v>
      </c>
      <c r="E13" s="18">
        <f>Parametros!$F$11</f>
        <v>378000</v>
      </c>
      <c r="F13" s="7">
        <f>(Parametros!$D$11*Parametros!$E$11-Parametros!$F$11)/Parametros!$D$11</f>
        <v>0.11125</v>
      </c>
      <c r="G13" s="12" t="str">
        <f>IF(AND(Dados!$B$6&gt;=Parametros!$C$11,Dados!$B$6&lt;=Parametros!$D$11),MAX((Dados!$B$6*Parametros!$E$11-Parametros!$F$11)/Dados!$B$6,0),"")</f>
        <v/>
      </c>
      <c r="H13" s="20" t="str">
        <f>IF(AND(Dados!$B$6&gt;=Parametros!$C$11,Dados!$B$6&lt;=Parametros!$D$11),"◄ FAIXA APLICADA","")</f>
        <v/>
      </c>
    </row>
    <row r="15" spans="1:8" x14ac:dyDescent="0.25">
      <c r="A15" s="42" t="s">
        <v>96</v>
      </c>
      <c r="B15" s="42"/>
      <c r="C15" s="42"/>
      <c r="D15" s="42"/>
      <c r="E15" s="42"/>
      <c r="F15" s="42"/>
      <c r="G15" s="42"/>
      <c r="H15" s="42"/>
    </row>
    <row r="16" spans="1:8" ht="39.75" customHeight="1" x14ac:dyDescent="0.25">
      <c r="A16" s="4" t="s">
        <v>22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93</v>
      </c>
      <c r="G16" s="4" t="s">
        <v>94</v>
      </c>
      <c r="H16" s="4" t="s">
        <v>95</v>
      </c>
    </row>
    <row r="17" spans="1:8" x14ac:dyDescent="0.25">
      <c r="A17" s="17">
        <f>Parametros!$B$12</f>
        <v>1</v>
      </c>
      <c r="B17" s="18">
        <f>Parametros!$C$12</f>
        <v>0</v>
      </c>
      <c r="C17" s="18">
        <f>Parametros!$D$12</f>
        <v>180000</v>
      </c>
      <c r="D17" s="19">
        <f>Parametros!$E$12</f>
        <v>4.4999999999999998E-2</v>
      </c>
      <c r="E17" s="18">
        <f>Parametros!$F$12</f>
        <v>0</v>
      </c>
      <c r="F17" s="7">
        <f>(Parametros!$D$12*Parametros!$E$12-Parametros!$F$12)/Parametros!$D$12</f>
        <v>4.4999999999999998E-2</v>
      </c>
      <c r="G17" s="12" t="str">
        <f>IF(AND(Dados!$B$6&gt;=Parametros!$C$12,Dados!$B$6&lt;=Parametros!$D$12),MAX((Dados!$B$6*Parametros!$E$12-Parametros!$F$12)/Dados!$B$6,0),"")</f>
        <v/>
      </c>
      <c r="H17" s="20" t="str">
        <f>IF(AND(Dados!$B$6&gt;=Parametros!$C$12,Dados!$B$6&lt;=Parametros!$D$12),"◄ FAIXA APLICADA","")</f>
        <v/>
      </c>
    </row>
    <row r="18" spans="1:8" x14ac:dyDescent="0.25">
      <c r="A18" s="17">
        <f>Parametros!$B$13</f>
        <v>2</v>
      </c>
      <c r="B18" s="18">
        <f>Parametros!$C$13</f>
        <v>180000.01</v>
      </c>
      <c r="C18" s="18">
        <f>Parametros!$D$13</f>
        <v>360000</v>
      </c>
      <c r="D18" s="19">
        <f>Parametros!$E$13</f>
        <v>7.8E-2</v>
      </c>
      <c r="E18" s="18">
        <f>Parametros!$F$13</f>
        <v>5940</v>
      </c>
      <c r="F18" s="7">
        <f>(Parametros!$D$13*Parametros!$E$13-Parametros!$F$13)/Parametros!$D$13</f>
        <v>6.1499999999999999E-2</v>
      </c>
      <c r="G18" s="12" t="str">
        <f>IF(AND(Dados!$B$6&gt;=Parametros!$C$13,Dados!$B$6&lt;=Parametros!$D$13),MAX((Dados!$B$6*Parametros!$E$13-Parametros!$F$13)/Dados!$B$6,0),"")</f>
        <v/>
      </c>
      <c r="H18" s="20" t="str">
        <f>IF(AND(Dados!$B$6&gt;=Parametros!$C$13,Dados!$B$6&lt;=Parametros!$D$13),"◄ FAIXA APLICADA","")</f>
        <v/>
      </c>
    </row>
    <row r="19" spans="1:8" x14ac:dyDescent="0.25">
      <c r="A19" s="17">
        <f>Parametros!$B$14</f>
        <v>3</v>
      </c>
      <c r="B19" s="18">
        <f>Parametros!$C$14</f>
        <v>360000.01</v>
      </c>
      <c r="C19" s="18">
        <f>Parametros!$D$14</f>
        <v>720000</v>
      </c>
      <c r="D19" s="19">
        <f>Parametros!$E$14</f>
        <v>0.1</v>
      </c>
      <c r="E19" s="18">
        <f>Parametros!$F$14</f>
        <v>13860</v>
      </c>
      <c r="F19" s="7">
        <f>(Parametros!$D$14*Parametros!$E$14-Parametros!$F$14)/Parametros!$D$14</f>
        <v>8.0750000000000002E-2</v>
      </c>
      <c r="G19" s="12" t="str">
        <f>IF(AND(Dados!$B$6&gt;=Parametros!$C$14,Dados!$B$6&lt;=Parametros!$D$14),MAX((Dados!$B$6*Parametros!$E$14-Parametros!$F$14)/Dados!$B$6,0),"")</f>
        <v/>
      </c>
      <c r="H19" s="20" t="str">
        <f>IF(AND(Dados!$B$6&gt;=Parametros!$C$14,Dados!$B$6&lt;=Parametros!$D$14),"◄ FAIXA APLICADA","")</f>
        <v/>
      </c>
    </row>
    <row r="20" spans="1:8" x14ac:dyDescent="0.25">
      <c r="A20" s="17">
        <f>Parametros!$B$15</f>
        <v>4</v>
      </c>
      <c r="B20" s="18">
        <f>Parametros!$C$15</f>
        <v>720000.01</v>
      </c>
      <c r="C20" s="18">
        <f>Parametros!$D$15</f>
        <v>1800000</v>
      </c>
      <c r="D20" s="19">
        <f>Parametros!$E$15</f>
        <v>0.112</v>
      </c>
      <c r="E20" s="18">
        <f>Parametros!$F$15</f>
        <v>22500</v>
      </c>
      <c r="F20" s="7">
        <f>(Parametros!$D$15*Parametros!$E$15-Parametros!$F$15)/Parametros!$D$15</f>
        <v>9.9500000000000005E-2</v>
      </c>
      <c r="G20" s="12">
        <f>IF(AND(Dados!$B$6&gt;=Parametros!$C$15,Dados!$B$6&lt;=Parametros!$D$15),MAX((Dados!$B$6*Parametros!$E$15-Parametros!$F$15)/Dados!$B$6,0),"")</f>
        <v>8.4628262017750117E-2</v>
      </c>
      <c r="H20" s="20" t="str">
        <f>IF(AND(Dados!$B$6&gt;=Parametros!$C$15,Dados!$B$6&lt;=Parametros!$D$15),"◄ FAIXA APLICADA","")</f>
        <v>◄ FAIXA APLICADA</v>
      </c>
    </row>
    <row r="21" spans="1:8" x14ac:dyDescent="0.25">
      <c r="A21" s="17">
        <f>Parametros!$B$16</f>
        <v>5</v>
      </c>
      <c r="B21" s="18">
        <f>Parametros!$C$16</f>
        <v>1800000.01</v>
      </c>
      <c r="C21" s="18">
        <f>Parametros!$D$16</f>
        <v>3600000</v>
      </c>
      <c r="D21" s="19">
        <f>Parametros!$E$16</f>
        <v>0.14699999999999999</v>
      </c>
      <c r="E21" s="18">
        <f>Parametros!$F$16</f>
        <v>85500</v>
      </c>
      <c r="F21" s="7">
        <f>(Parametros!$D$16*Parametros!$E$16-Parametros!$F$16)/Parametros!$D$16</f>
        <v>0.12325</v>
      </c>
      <c r="G21" s="12" t="str">
        <f>IF(AND(Dados!$B$6&gt;=Parametros!$C$16,Dados!$B$6&lt;=Parametros!$D$16),MAX((Dados!$B$6*Parametros!$E$16-Parametros!$F$16)/Dados!$B$6,0),"")</f>
        <v/>
      </c>
      <c r="H21" s="20" t="str">
        <f>IF(AND(Dados!$B$6&gt;=Parametros!$C$16,Dados!$B$6&lt;=Parametros!$D$16),"◄ FAIXA APLICADA","")</f>
        <v/>
      </c>
    </row>
    <row r="22" spans="1:8" x14ac:dyDescent="0.25">
      <c r="A22" s="17">
        <f>Parametros!$B$17</f>
        <v>6</v>
      </c>
      <c r="B22" s="18">
        <f>Parametros!$C$17</f>
        <v>3600000.01</v>
      </c>
      <c r="C22" s="18">
        <f>Parametros!$D$17</f>
        <v>4800000</v>
      </c>
      <c r="D22" s="19">
        <f>Parametros!$E$17</f>
        <v>0.3</v>
      </c>
      <c r="E22" s="18">
        <f>Parametros!$F$17</f>
        <v>720000</v>
      </c>
      <c r="F22" s="7">
        <f>(Parametros!$D$17*Parametros!$E$17-Parametros!$F$17)/Parametros!$D$17</f>
        <v>0.15</v>
      </c>
      <c r="G22" s="12" t="str">
        <f>IF(AND(Dados!$B$6&gt;=Parametros!$C$17,Dados!$B$6&lt;=Parametros!$D$17),MAX((Dados!$B$6*Parametros!$E$17-Parametros!$F$17)/Dados!$B$6,0),"")</f>
        <v/>
      </c>
      <c r="H22" s="20" t="str">
        <f>IF(AND(Dados!$B$6&gt;=Parametros!$C$17,Dados!$B$6&lt;=Parametros!$D$17),"◄ FAIXA APLICADA","")</f>
        <v/>
      </c>
    </row>
    <row r="24" spans="1:8" x14ac:dyDescent="0.25">
      <c r="A24" s="42" t="s">
        <v>97</v>
      </c>
      <c r="B24" s="42"/>
      <c r="C24" s="42"/>
      <c r="D24" s="42"/>
      <c r="E24" s="42"/>
      <c r="F24" s="42"/>
      <c r="G24" s="42"/>
      <c r="H24" s="42"/>
    </row>
    <row r="25" spans="1:8" ht="39.75" customHeight="1" x14ac:dyDescent="0.25">
      <c r="A25" s="4" t="s">
        <v>22</v>
      </c>
      <c r="B25" s="4" t="s">
        <v>23</v>
      </c>
      <c r="C25" s="4" t="s">
        <v>24</v>
      </c>
      <c r="D25" s="4" t="s">
        <v>25</v>
      </c>
      <c r="E25" s="4" t="s">
        <v>26</v>
      </c>
      <c r="F25" s="4" t="s">
        <v>93</v>
      </c>
      <c r="G25" s="4" t="s">
        <v>94</v>
      </c>
      <c r="H25" s="4" t="s">
        <v>95</v>
      </c>
    </row>
    <row r="26" spans="1:8" x14ac:dyDescent="0.25">
      <c r="A26" s="17">
        <f>Parametros!$B$18</f>
        <v>1</v>
      </c>
      <c r="B26" s="18">
        <f>Parametros!$C$18</f>
        <v>0</v>
      </c>
      <c r="C26" s="18">
        <f>Parametros!$D$18</f>
        <v>180000</v>
      </c>
      <c r="D26" s="19">
        <f>Parametros!$E$18</f>
        <v>0.06</v>
      </c>
      <c r="E26" s="18">
        <f>Parametros!$F$18</f>
        <v>0</v>
      </c>
      <c r="F26" s="7">
        <f>(Parametros!$D$18*Parametros!$E$18-Parametros!$F$18)/Parametros!$D$18</f>
        <v>0.06</v>
      </c>
      <c r="G26" s="12" t="str">
        <f>IF(AND(Dados!$B$6&gt;=Parametros!$C$18,Dados!$B$6&lt;=Parametros!$D$18),MAX((Dados!$B$6*Parametros!$E$18-Parametros!$F$18)/Dados!$B$6,0),"")</f>
        <v/>
      </c>
      <c r="H26" s="20" t="str">
        <f>IF(AND(Dados!$B$6&gt;=Parametros!$C$18,Dados!$B$6&lt;=Parametros!$D$18),"◄ FAIXA APLICADA","")</f>
        <v/>
      </c>
    </row>
    <row r="27" spans="1:8" x14ac:dyDescent="0.25">
      <c r="A27" s="17">
        <f>Parametros!$B$19</f>
        <v>2</v>
      </c>
      <c r="B27" s="18">
        <f>Parametros!$C$19</f>
        <v>180000.01</v>
      </c>
      <c r="C27" s="18">
        <f>Parametros!$D$19</f>
        <v>360000</v>
      </c>
      <c r="D27" s="19">
        <f>Parametros!$E$19</f>
        <v>0.112</v>
      </c>
      <c r="E27" s="18">
        <f>Parametros!$F$19</f>
        <v>9360</v>
      </c>
      <c r="F27" s="7">
        <f>(Parametros!$D$19*Parametros!$E$19-Parametros!$F$19)/Parametros!$D$19</f>
        <v>8.5999999999999993E-2</v>
      </c>
      <c r="G27" s="12" t="str">
        <f>IF(AND(Dados!$B$6&gt;=Parametros!$C$19,Dados!$B$6&lt;=Parametros!$D$19),MAX((Dados!$B$6*Parametros!$E$19-Parametros!$F$19)/Dados!$B$6,0),"")</f>
        <v/>
      </c>
      <c r="H27" s="20" t="str">
        <f>IF(AND(Dados!$B$6&gt;=Parametros!$C$19,Dados!$B$6&lt;=Parametros!$D$19),"◄ FAIXA APLICADA","")</f>
        <v/>
      </c>
    </row>
    <row r="28" spans="1:8" x14ac:dyDescent="0.25">
      <c r="A28" s="17">
        <f>Parametros!$B$20</f>
        <v>3</v>
      </c>
      <c r="B28" s="18">
        <f>Parametros!$C$20</f>
        <v>360000.01</v>
      </c>
      <c r="C28" s="18">
        <f>Parametros!$D$20</f>
        <v>720000</v>
      </c>
      <c r="D28" s="19">
        <f>Parametros!$E$20</f>
        <v>0.13500000000000001</v>
      </c>
      <c r="E28" s="18">
        <f>Parametros!$F$20</f>
        <v>17640</v>
      </c>
      <c r="F28" s="7">
        <f>(Parametros!$D$20*Parametros!$E$20-Parametros!$F$20)/Parametros!$D$20</f>
        <v>0.1105</v>
      </c>
      <c r="G28" s="12" t="str">
        <f>IF(AND(Dados!$B$6&gt;=Parametros!$C$20,Dados!$B$6&lt;=Parametros!$D$20),MAX((Dados!$B$6*Parametros!$E$20-Parametros!$F$20)/Dados!$B$6,0),"")</f>
        <v/>
      </c>
      <c r="H28" s="20" t="str">
        <f>IF(AND(Dados!$B$6&gt;=Parametros!$C$20,Dados!$B$6&lt;=Parametros!$D$20),"◄ FAIXA APLICADA","")</f>
        <v/>
      </c>
    </row>
    <row r="29" spans="1:8" x14ac:dyDescent="0.25">
      <c r="A29" s="17">
        <f>Parametros!$B$21</f>
        <v>4</v>
      </c>
      <c r="B29" s="18">
        <f>Parametros!$C$21</f>
        <v>720000.01</v>
      </c>
      <c r="C29" s="18">
        <f>Parametros!$D$21</f>
        <v>1800000</v>
      </c>
      <c r="D29" s="19">
        <f>Parametros!$E$21</f>
        <v>0.16</v>
      </c>
      <c r="E29" s="18">
        <f>Parametros!$F$21</f>
        <v>35640</v>
      </c>
      <c r="F29" s="7">
        <f>(Parametros!$D$21*Parametros!$E$21-Parametros!$F$21)/Parametros!$D$21</f>
        <v>0.14019999999999999</v>
      </c>
      <c r="G29" s="12">
        <f>IF(AND(Dados!$B$6&gt;=Parametros!$C$21,Dados!$B$6&lt;=Parametros!$D$21),MAX((Dados!$B$6*Parametros!$E$21-Parametros!$F$21)/Dados!$B$6,0),"")</f>
        <v>0.1166431670361162</v>
      </c>
      <c r="H29" s="20" t="str">
        <f>IF(AND(Dados!$B$6&gt;=Parametros!$C$21,Dados!$B$6&lt;=Parametros!$D$21),"◄ FAIXA APLICADA","")</f>
        <v>◄ FAIXA APLICADA</v>
      </c>
    </row>
    <row r="30" spans="1:8" x14ac:dyDescent="0.25">
      <c r="A30" s="17">
        <f>Parametros!$B$22</f>
        <v>5</v>
      </c>
      <c r="B30" s="18">
        <f>Parametros!$C$22</f>
        <v>1800000.01</v>
      </c>
      <c r="C30" s="18">
        <f>Parametros!$D$22</f>
        <v>3600000</v>
      </c>
      <c r="D30" s="19">
        <f>Parametros!$E$22</f>
        <v>0.21</v>
      </c>
      <c r="E30" s="18">
        <f>Parametros!$F$22</f>
        <v>125640</v>
      </c>
      <c r="F30" s="7">
        <f>(Parametros!$D$22*Parametros!$E$22-Parametros!$F$22)/Parametros!$D$22</f>
        <v>0.17510000000000001</v>
      </c>
      <c r="G30" s="12" t="str">
        <f>IF(AND(Dados!$B$6&gt;=Parametros!$C$22,Dados!$B$6&lt;=Parametros!$D$22),MAX((Dados!$B$6*Parametros!$E$22-Parametros!$F$22)/Dados!$B$6,0),"")</f>
        <v/>
      </c>
      <c r="H30" s="20" t="str">
        <f>IF(AND(Dados!$B$6&gt;=Parametros!$C$22,Dados!$B$6&lt;=Parametros!$D$22),"◄ FAIXA APLICADA","")</f>
        <v/>
      </c>
    </row>
    <row r="31" spans="1:8" x14ac:dyDescent="0.25">
      <c r="A31" s="17">
        <f>Parametros!$B$23</f>
        <v>6</v>
      </c>
      <c r="B31" s="18">
        <f>Parametros!$C$23</f>
        <v>3600000.01</v>
      </c>
      <c r="C31" s="18">
        <f>Parametros!$D$23</f>
        <v>4800000</v>
      </c>
      <c r="D31" s="19">
        <f>Parametros!$E$23</f>
        <v>0.33</v>
      </c>
      <c r="E31" s="18">
        <f>Parametros!$F$23</f>
        <v>648000</v>
      </c>
      <c r="F31" s="7">
        <f>(Parametros!$D$23*Parametros!$E$23-Parametros!$F$23)/Parametros!$D$23</f>
        <v>0.19500000000000001</v>
      </c>
      <c r="G31" s="12" t="str">
        <f>IF(AND(Dados!$B$6&gt;=Parametros!$C$23,Dados!$B$6&lt;=Parametros!$D$23),MAX((Dados!$B$6*Parametros!$E$23-Parametros!$F$23)/Dados!$B$6,0),"")</f>
        <v/>
      </c>
      <c r="H31" s="20" t="str">
        <f>IF(AND(Dados!$B$6&gt;=Parametros!$C$23,Dados!$B$6&lt;=Parametros!$D$23),"◄ FAIXA APLICADA","")</f>
        <v/>
      </c>
    </row>
    <row r="33" spans="1:8" x14ac:dyDescent="0.25">
      <c r="A33" s="42" t="s">
        <v>98</v>
      </c>
      <c r="B33" s="42"/>
      <c r="C33" s="42"/>
      <c r="D33" s="42"/>
      <c r="E33" s="42"/>
      <c r="F33" s="42"/>
      <c r="G33" s="42"/>
      <c r="H33" s="42"/>
    </row>
    <row r="34" spans="1:8" ht="39.75" customHeight="1" x14ac:dyDescent="0.25">
      <c r="A34" s="4" t="s">
        <v>22</v>
      </c>
      <c r="B34" s="4" t="s">
        <v>23</v>
      </c>
      <c r="C34" s="4" t="s">
        <v>24</v>
      </c>
      <c r="D34" s="4" t="s">
        <v>25</v>
      </c>
      <c r="E34" s="4" t="s">
        <v>26</v>
      </c>
      <c r="F34" s="4" t="s">
        <v>93</v>
      </c>
      <c r="G34" s="4" t="s">
        <v>94</v>
      </c>
      <c r="H34" s="4" t="s">
        <v>95</v>
      </c>
    </row>
    <row r="35" spans="1:8" x14ac:dyDescent="0.25">
      <c r="A35" s="17">
        <f>Parametros!$B$24</f>
        <v>1</v>
      </c>
      <c r="B35" s="18">
        <f>Parametros!$C$24</f>
        <v>0</v>
      </c>
      <c r="C35" s="18">
        <f>Parametros!$D$24</f>
        <v>180000</v>
      </c>
      <c r="D35" s="19">
        <f>Parametros!$E$24</f>
        <v>4.4999999999999998E-2</v>
      </c>
      <c r="E35" s="18">
        <f>Parametros!$F$24</f>
        <v>0</v>
      </c>
      <c r="F35" s="7">
        <f>(Parametros!$D$24*Parametros!$E$24-Parametros!$F$24)/Parametros!$D$24</f>
        <v>4.4999999999999998E-2</v>
      </c>
      <c r="G35" s="12" t="str">
        <f>IF(AND(Dados!$B$6&gt;=Parametros!$C$24,Dados!$B$6&lt;=Parametros!$D$24),MAX((Dados!$B$6*Parametros!$E$24-Parametros!$F$24)/Dados!$B$6,0),"")</f>
        <v/>
      </c>
      <c r="H35" s="20" t="str">
        <f>IF(AND(Dados!$B$6&gt;=Parametros!$C$24,Dados!$B$6&lt;=Parametros!$D$24),"◄ FAIXA APLICADA","")</f>
        <v/>
      </c>
    </row>
    <row r="36" spans="1:8" x14ac:dyDescent="0.25">
      <c r="A36" s="17">
        <f>Parametros!$B$25</f>
        <v>2</v>
      </c>
      <c r="B36" s="18">
        <f>Parametros!$C$25</f>
        <v>180000.01</v>
      </c>
      <c r="C36" s="18">
        <f>Parametros!$D$25</f>
        <v>360000</v>
      </c>
      <c r="D36" s="19">
        <f>Parametros!$E$25</f>
        <v>0.09</v>
      </c>
      <c r="E36" s="18">
        <f>Parametros!$F$25</f>
        <v>8100</v>
      </c>
      <c r="F36" s="7">
        <f>(Parametros!$D$25*Parametros!$E$25-Parametros!$F$25)/Parametros!$D$25</f>
        <v>6.7500000000000004E-2</v>
      </c>
      <c r="G36" s="12" t="str">
        <f>IF(AND(Dados!$B$6&gt;=Parametros!$C$25,Dados!$B$6&lt;=Parametros!$D$25),MAX((Dados!$B$6*Parametros!$E$25-Parametros!$F$25)/Dados!$B$6,0),"")</f>
        <v/>
      </c>
      <c r="H36" s="20" t="str">
        <f>IF(AND(Dados!$B$6&gt;=Parametros!$C$25,Dados!$B$6&lt;=Parametros!$D$25),"◄ FAIXA APLICADA","")</f>
        <v/>
      </c>
    </row>
    <row r="37" spans="1:8" x14ac:dyDescent="0.25">
      <c r="A37" s="17">
        <f>Parametros!$B$26</f>
        <v>3</v>
      </c>
      <c r="B37" s="18">
        <f>Parametros!$C$26</f>
        <v>360000.01</v>
      </c>
      <c r="C37" s="18">
        <f>Parametros!$D$26</f>
        <v>720000</v>
      </c>
      <c r="D37" s="19">
        <f>Parametros!$E$26</f>
        <v>0.10199999999999999</v>
      </c>
      <c r="E37" s="18">
        <f>Parametros!$F$26</f>
        <v>12420</v>
      </c>
      <c r="F37" s="7">
        <f>(Parametros!$D$26*Parametros!$E$26-Parametros!$F$26)/Parametros!$D$26</f>
        <v>8.4750000000000006E-2</v>
      </c>
      <c r="G37" s="12" t="str">
        <f>IF(AND(Dados!$B$6&gt;=Parametros!$C$26,Dados!$B$6&lt;=Parametros!$D$26),MAX((Dados!$B$6*Parametros!$E$26-Parametros!$F$26)/Dados!$B$6,0),"")</f>
        <v/>
      </c>
      <c r="H37" s="20" t="str">
        <f>IF(AND(Dados!$B$6&gt;=Parametros!$C$26,Dados!$B$6&lt;=Parametros!$D$26),"◄ FAIXA APLICADA","")</f>
        <v/>
      </c>
    </row>
    <row r="38" spans="1:8" x14ac:dyDescent="0.25">
      <c r="A38" s="17">
        <f>Parametros!$B$27</f>
        <v>4</v>
      </c>
      <c r="B38" s="18">
        <f>Parametros!$C$27</f>
        <v>720000.01</v>
      </c>
      <c r="C38" s="18">
        <f>Parametros!$D$27</f>
        <v>1800000</v>
      </c>
      <c r="D38" s="19">
        <f>Parametros!$E$27</f>
        <v>0.14000000000000001</v>
      </c>
      <c r="E38" s="18">
        <f>Parametros!$F$27</f>
        <v>39780</v>
      </c>
      <c r="F38" s="7">
        <f>(Parametros!$D$27*Parametros!$E$27-Parametros!$F$27)/Parametros!$D$27</f>
        <v>0.11790000000000002</v>
      </c>
      <c r="G38" s="12">
        <f>IF(AND(Dados!$B$6&gt;=Parametros!$C$27,Dados!$B$6&lt;=Parametros!$D$27),MAX((Dados!$B$6*Parametros!$E$27-Parametros!$F$27)/Dados!$B$6,0),"")</f>
        <v>9.1606767247382231E-2</v>
      </c>
      <c r="H38" s="20" t="str">
        <f>IF(AND(Dados!$B$6&gt;=Parametros!$C$27,Dados!$B$6&lt;=Parametros!$D$27),"◄ FAIXA APLICADA","")</f>
        <v>◄ FAIXA APLICADA</v>
      </c>
    </row>
    <row r="39" spans="1:8" x14ac:dyDescent="0.25">
      <c r="A39" s="17">
        <f>Parametros!$B$28</f>
        <v>5</v>
      </c>
      <c r="B39" s="18">
        <f>Parametros!$C$28</f>
        <v>1800000.01</v>
      </c>
      <c r="C39" s="18">
        <f>Parametros!$D$28</f>
        <v>3600000</v>
      </c>
      <c r="D39" s="19">
        <f>Parametros!$E$28</f>
        <v>0.22</v>
      </c>
      <c r="E39" s="18">
        <f>Parametros!$F$28</f>
        <v>183780</v>
      </c>
      <c r="F39" s="7">
        <f>(Parametros!$D$28*Parametros!$E$28-Parametros!$F$28)/Parametros!$D$28</f>
        <v>0.16894999999999999</v>
      </c>
      <c r="G39" s="12" t="str">
        <f>IF(AND(Dados!$B$6&gt;=Parametros!$C$28,Dados!$B$6&lt;=Parametros!$D$28),MAX((Dados!$B$6*Parametros!$E$28-Parametros!$F$28)/Dados!$B$6,0),"")</f>
        <v/>
      </c>
      <c r="H39" s="20" t="str">
        <f>IF(AND(Dados!$B$6&gt;=Parametros!$C$28,Dados!$B$6&lt;=Parametros!$D$28),"◄ FAIXA APLICADA","")</f>
        <v/>
      </c>
    </row>
    <row r="40" spans="1:8" x14ac:dyDescent="0.25">
      <c r="A40" s="17">
        <f>Parametros!$B$29</f>
        <v>6</v>
      </c>
      <c r="B40" s="18">
        <f>Parametros!$C$29</f>
        <v>3600000.01</v>
      </c>
      <c r="C40" s="18">
        <f>Parametros!$D$29</f>
        <v>4800000</v>
      </c>
      <c r="D40" s="19">
        <f>Parametros!$E$29</f>
        <v>0.33</v>
      </c>
      <c r="E40" s="18">
        <f>Parametros!$F$29</f>
        <v>828000</v>
      </c>
      <c r="F40" s="7">
        <f>(Parametros!$D$29*Parametros!$E$29-Parametros!$F$29)/Parametros!$D$29</f>
        <v>0.1575</v>
      </c>
      <c r="G40" s="12" t="str">
        <f>IF(AND(Dados!$B$6&gt;=Parametros!$C$29,Dados!$B$6&lt;=Parametros!$D$29),MAX((Dados!$B$6*Parametros!$E$29-Parametros!$F$29)/Dados!$B$6,0),"")</f>
        <v/>
      </c>
      <c r="H40" s="20" t="str">
        <f>IF(AND(Dados!$B$6&gt;=Parametros!$C$29,Dados!$B$6&lt;=Parametros!$D$29),"◄ FAIXA APLICADA","")</f>
        <v/>
      </c>
    </row>
    <row r="42" spans="1:8" x14ac:dyDescent="0.25">
      <c r="A42" s="42" t="s">
        <v>99</v>
      </c>
      <c r="B42" s="42"/>
      <c r="C42" s="42"/>
      <c r="D42" s="42"/>
      <c r="E42" s="42"/>
      <c r="F42" s="42"/>
      <c r="G42" s="42"/>
      <c r="H42" s="42"/>
    </row>
    <row r="43" spans="1:8" ht="39.75" customHeight="1" x14ac:dyDescent="0.25">
      <c r="A43" s="4" t="s">
        <v>22</v>
      </c>
      <c r="B43" s="4" t="s">
        <v>23</v>
      </c>
      <c r="C43" s="4" t="s">
        <v>24</v>
      </c>
      <c r="D43" s="4" t="s">
        <v>25</v>
      </c>
      <c r="E43" s="4" t="s">
        <v>26</v>
      </c>
      <c r="F43" s="4" t="s">
        <v>93</v>
      </c>
      <c r="G43" s="4" t="s">
        <v>94</v>
      </c>
      <c r="H43" s="4" t="s">
        <v>95</v>
      </c>
    </row>
    <row r="44" spans="1:8" x14ac:dyDescent="0.25">
      <c r="A44" s="17">
        <f>Parametros!$B$30</f>
        <v>1</v>
      </c>
      <c r="B44" s="18">
        <f>Parametros!$C$30</f>
        <v>0</v>
      </c>
      <c r="C44" s="18">
        <f>Parametros!$D$30</f>
        <v>180000</v>
      </c>
      <c r="D44" s="19">
        <f>Parametros!$E$30</f>
        <v>0.155</v>
      </c>
      <c r="E44" s="18">
        <f>Parametros!$F$30</f>
        <v>0</v>
      </c>
      <c r="F44" s="7">
        <f>(Parametros!$D$30*Parametros!$E$30-Parametros!$F$30)/Parametros!$D$30</f>
        <v>0.155</v>
      </c>
      <c r="G44" s="12" t="str">
        <f>IF(AND(Dados!$B$6&gt;=Parametros!$C$30,Dados!$B$6&lt;=Parametros!$D$30),MAX((Dados!$B$6*Parametros!$E$30-Parametros!$F$30)/Dados!$B$6,0),"")</f>
        <v/>
      </c>
      <c r="H44" s="20" t="str">
        <f>IF(AND(Dados!$B$6&gt;=Parametros!$C$30,Dados!$B$6&lt;=Parametros!$D$30),"◄ FAIXA APLICADA","")</f>
        <v/>
      </c>
    </row>
    <row r="45" spans="1:8" x14ac:dyDescent="0.25">
      <c r="A45" s="17">
        <f>Parametros!$B$31</f>
        <v>2</v>
      </c>
      <c r="B45" s="18">
        <f>Parametros!$C$31</f>
        <v>180000.01</v>
      </c>
      <c r="C45" s="18">
        <f>Parametros!$D$31</f>
        <v>360000</v>
      </c>
      <c r="D45" s="19">
        <f>Parametros!$E$31</f>
        <v>0.18</v>
      </c>
      <c r="E45" s="18">
        <f>Parametros!$F$31</f>
        <v>4500</v>
      </c>
      <c r="F45" s="7">
        <f>(Parametros!$D$31*Parametros!$E$31-Parametros!$F$31)/Parametros!$D$31</f>
        <v>0.16750000000000001</v>
      </c>
      <c r="G45" s="12" t="str">
        <f>IF(AND(Dados!$B$6&gt;=Parametros!$C$31,Dados!$B$6&lt;=Parametros!$D$31),MAX((Dados!$B$6*Parametros!$E$31-Parametros!$F$31)/Dados!$B$6,0),"")</f>
        <v/>
      </c>
      <c r="H45" s="20" t="str">
        <f>IF(AND(Dados!$B$6&gt;=Parametros!$C$31,Dados!$B$6&lt;=Parametros!$D$31),"◄ FAIXA APLICADA","")</f>
        <v/>
      </c>
    </row>
    <row r="46" spans="1:8" x14ac:dyDescent="0.25">
      <c r="A46" s="17">
        <f>Parametros!$B$32</f>
        <v>3</v>
      </c>
      <c r="B46" s="18">
        <f>Parametros!$C$32</f>
        <v>360000.01</v>
      </c>
      <c r="C46" s="18">
        <f>Parametros!$D$32</f>
        <v>720000</v>
      </c>
      <c r="D46" s="19">
        <f>Parametros!$E$32</f>
        <v>0.19500000000000001</v>
      </c>
      <c r="E46" s="18">
        <f>Parametros!$F$32</f>
        <v>9900</v>
      </c>
      <c r="F46" s="7">
        <f>(Parametros!$D$32*Parametros!$E$32-Parametros!$F$32)/Parametros!$D$32</f>
        <v>0.18124999999999999</v>
      </c>
      <c r="G46" s="12" t="str">
        <f>IF(AND(Dados!$B$6&gt;=Parametros!$C$32,Dados!$B$6&lt;=Parametros!$D$32),MAX((Dados!$B$6*Parametros!$E$32-Parametros!$F$32)/Dados!$B$6,0),"")</f>
        <v/>
      </c>
      <c r="H46" s="20" t="str">
        <f>IF(AND(Dados!$B$6&gt;=Parametros!$C$32,Dados!$B$6&lt;=Parametros!$D$32),"◄ FAIXA APLICADA","")</f>
        <v/>
      </c>
    </row>
    <row r="47" spans="1:8" x14ac:dyDescent="0.25">
      <c r="A47" s="17">
        <f>Parametros!$B$33</f>
        <v>4</v>
      </c>
      <c r="B47" s="18">
        <f>Parametros!$C$33</f>
        <v>720000.01</v>
      </c>
      <c r="C47" s="18">
        <f>Parametros!$D$33</f>
        <v>1800000</v>
      </c>
      <c r="D47" s="19">
        <f>Parametros!$E$33</f>
        <v>0.20499999999999999</v>
      </c>
      <c r="E47" s="18">
        <f>Parametros!$F$33</f>
        <v>17100</v>
      </c>
      <c r="F47" s="7">
        <f>(Parametros!$D$33*Parametros!$E$33-Parametros!$F$33)/Parametros!$D$33</f>
        <v>0.19550000000000001</v>
      </c>
      <c r="G47" s="12">
        <f>IF(AND(Dados!$B$6&gt;=Parametros!$C$33,Dados!$B$6&lt;=Parametros!$D$33),MAX((Dados!$B$6*Parametros!$E$33-Parametros!$F$33)/Dados!$B$6,0),"")</f>
        <v>0.18419747913349008</v>
      </c>
      <c r="H47" s="20" t="str">
        <f>IF(AND(Dados!$B$6&gt;=Parametros!$C$33,Dados!$B$6&lt;=Parametros!$D$33),"◄ FAIXA APLICADA","")</f>
        <v>◄ FAIXA APLICADA</v>
      </c>
    </row>
    <row r="48" spans="1:8" x14ac:dyDescent="0.25">
      <c r="A48" s="17">
        <f>Parametros!$B$34</f>
        <v>5</v>
      </c>
      <c r="B48" s="18">
        <f>Parametros!$C$34</f>
        <v>1800000.01</v>
      </c>
      <c r="C48" s="18">
        <f>Parametros!$D$34</f>
        <v>3600000</v>
      </c>
      <c r="D48" s="19">
        <f>Parametros!$E$34</f>
        <v>0.23</v>
      </c>
      <c r="E48" s="18">
        <f>Parametros!$F$34</f>
        <v>62100</v>
      </c>
      <c r="F48" s="7">
        <f>(Parametros!$D$34*Parametros!$E$34-Parametros!$F$34)/Parametros!$D$34</f>
        <v>0.21274999999999999</v>
      </c>
      <c r="G48" s="12" t="str">
        <f>IF(AND(Dados!$B$6&gt;=Parametros!$C$34,Dados!$B$6&lt;=Parametros!$D$34),MAX((Dados!$B$6*Parametros!$E$34-Parametros!$F$34)/Dados!$B$6,0),"")</f>
        <v/>
      </c>
      <c r="H48" s="20" t="str">
        <f>IF(AND(Dados!$B$6&gt;=Parametros!$C$34,Dados!$B$6&lt;=Parametros!$D$34),"◄ FAIXA APLICADA","")</f>
        <v/>
      </c>
    </row>
    <row r="49" spans="1:8" x14ac:dyDescent="0.25">
      <c r="A49" s="17">
        <f>Parametros!$B$35</f>
        <v>6</v>
      </c>
      <c r="B49" s="18">
        <f>Parametros!$C$35</f>
        <v>3600000.01</v>
      </c>
      <c r="C49" s="18">
        <f>Parametros!$D$35</f>
        <v>4800000</v>
      </c>
      <c r="D49" s="19">
        <f>Parametros!$E$35</f>
        <v>0.30499999999999999</v>
      </c>
      <c r="E49" s="18">
        <f>Parametros!$F$35</f>
        <v>540000</v>
      </c>
      <c r="F49" s="7">
        <f>(Parametros!$D$35*Parametros!$E$35-Parametros!$F$35)/Parametros!$D$35</f>
        <v>0.1925</v>
      </c>
      <c r="G49" s="12" t="str">
        <f>IF(AND(Dados!$B$6&gt;=Parametros!$C$35,Dados!$B$6&lt;=Parametros!$D$35),MAX((Dados!$B$6*Parametros!$E$35-Parametros!$F$35)/Dados!$B$6,0),"")</f>
        <v/>
      </c>
      <c r="H49" s="20" t="str">
        <f>IF(AND(Dados!$B$6&gt;=Parametros!$C$35,Dados!$B$6&lt;=Parametros!$D$35),"◄ FAIXA APLICADA","")</f>
        <v/>
      </c>
    </row>
    <row r="51" spans="1:8" ht="15" customHeight="1" x14ac:dyDescent="0.25">
      <c r="A51" s="39" t="s">
        <v>100</v>
      </c>
      <c r="B51" s="39"/>
      <c r="C51" s="39"/>
      <c r="D51" s="39"/>
      <c r="E51" s="39"/>
      <c r="F51" s="39"/>
      <c r="G51" s="39"/>
      <c r="H51" s="39"/>
    </row>
    <row r="52" spans="1:8" x14ac:dyDescent="0.25">
      <c r="A52" s="39"/>
      <c r="B52" s="39"/>
      <c r="C52" s="39"/>
      <c r="D52" s="39"/>
      <c r="E52" s="39"/>
      <c r="F52" s="39"/>
      <c r="G52" s="39"/>
      <c r="H52" s="39"/>
    </row>
  </sheetData>
  <mergeCells count="8">
    <mergeCell ref="A33:H33"/>
    <mergeCell ref="A42:H42"/>
    <mergeCell ref="A51:H52"/>
    <mergeCell ref="A1:H1"/>
    <mergeCell ref="C3:H4"/>
    <mergeCell ref="A6:H6"/>
    <mergeCell ref="A15:H15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showGridLines="0" tabSelected="1" zoomScaleNormal="100" workbookViewId="0">
      <selection activeCell="A39" sqref="A39"/>
    </sheetView>
  </sheetViews>
  <sheetFormatPr defaultColWidth="8.7109375" defaultRowHeight="15" x14ac:dyDescent="0.25"/>
  <cols>
    <col min="1" max="1" width="52" customWidth="1"/>
    <col min="2" max="2" width="34.7109375" customWidth="1"/>
    <col min="3" max="4" width="14" customWidth="1"/>
    <col min="5" max="5" width="40" customWidth="1"/>
    <col min="6" max="6" width="14" customWidth="1"/>
  </cols>
  <sheetData>
    <row r="1" spans="1:6" ht="24" customHeight="1" x14ac:dyDescent="0.25">
      <c r="A1" s="40" t="s">
        <v>101</v>
      </c>
      <c r="B1" s="40"/>
      <c r="C1" s="40"/>
      <c r="D1" s="40"/>
      <c r="E1" s="40"/>
      <c r="F1" s="40"/>
    </row>
    <row r="3" spans="1:6" x14ac:dyDescent="0.25">
      <c r="A3" s="38" t="s">
        <v>102</v>
      </c>
      <c r="B3" s="38"/>
      <c r="C3" s="38"/>
      <c r="D3" s="38"/>
      <c r="E3" s="38"/>
      <c r="F3" s="38"/>
    </row>
    <row r="4" spans="1:6" x14ac:dyDescent="0.25">
      <c r="A4" s="1" t="s">
        <v>103</v>
      </c>
      <c r="B4" s="14" t="s">
        <v>253</v>
      </c>
    </row>
    <row r="5" spans="1:6" x14ac:dyDescent="0.25">
      <c r="A5" s="1" t="s">
        <v>104</v>
      </c>
      <c r="B5" s="21" t="s">
        <v>40</v>
      </c>
      <c r="E5" s="2" t="s">
        <v>105</v>
      </c>
    </row>
    <row r="6" spans="1:6" x14ac:dyDescent="0.25">
      <c r="A6" s="1" t="s">
        <v>106</v>
      </c>
      <c r="B6" s="22">
        <v>822015.76</v>
      </c>
    </row>
    <row r="7" spans="1:6" x14ac:dyDescent="0.25">
      <c r="A7" s="1" t="s">
        <v>107</v>
      </c>
      <c r="B7" s="1" t="str">
        <f>IF(B6&gt;3600000,"ATENÇÃO: acima do sublimite — ICMS/ISS já fora do DAS","OK")</f>
        <v>OK</v>
      </c>
    </row>
    <row r="8" spans="1:6" x14ac:dyDescent="0.25">
      <c r="A8" s="1" t="s">
        <v>108</v>
      </c>
      <c r="B8" s="41" t="str">
        <f>IF(OR(B6=0,B12+B24=0),"—",IF(ABS(B6-12*(B12+B24))/B6&gt;0.2,"ATENÇÃO: RBT12 difere de 12× a receita mensal — a faixa/alíquota pode não refletir o cliente","OK"))</f>
        <v>ATENÇÃO: RBT12 difere de 12× a receita mensal — a faixa/alíquota pode não refletir o cliente</v>
      </c>
      <c r="C8" s="41"/>
      <c r="D8" s="41"/>
      <c r="E8" s="41"/>
      <c r="F8" s="41"/>
    </row>
    <row r="10" spans="1:6" x14ac:dyDescent="0.25">
      <c r="A10" s="38" t="s">
        <v>109</v>
      </c>
      <c r="B10" s="38"/>
      <c r="C10" s="38"/>
      <c r="D10" s="38"/>
      <c r="E10" s="38"/>
      <c r="F10" s="38"/>
    </row>
    <row r="11" spans="1:6" x14ac:dyDescent="0.25">
      <c r="A11" s="1" t="s">
        <v>110</v>
      </c>
      <c r="B11" s="14" t="s">
        <v>30</v>
      </c>
      <c r="E11" s="2" t="s">
        <v>111</v>
      </c>
    </row>
    <row r="12" spans="1:6" x14ac:dyDescent="0.25">
      <c r="A12" s="1" t="s">
        <v>112</v>
      </c>
      <c r="B12" s="22">
        <v>96127</v>
      </c>
    </row>
    <row r="13" spans="1:6" x14ac:dyDescent="0.25">
      <c r="A13" s="1" t="s">
        <v>113</v>
      </c>
      <c r="B13" s="22">
        <v>190358.24</v>
      </c>
      <c r="C13" s="23">
        <f>IF($B$12&gt;0,B13/$B$12,0)</f>
        <v>1.980278589782267</v>
      </c>
      <c r="E13" s="2" t="s">
        <v>114</v>
      </c>
    </row>
    <row r="14" spans="1:6" x14ac:dyDescent="0.25">
      <c r="A14" s="1" t="s">
        <v>115</v>
      </c>
      <c r="B14" s="22">
        <v>0</v>
      </c>
      <c r="C14" s="23">
        <f>IF($B$12&gt;0,B14/$B$12,0)</f>
        <v>0</v>
      </c>
      <c r="E14" s="2" t="s">
        <v>114</v>
      </c>
    </row>
    <row r="15" spans="1:6" ht="22.5" x14ac:dyDescent="0.25">
      <c r="A15" s="1" t="s">
        <v>116</v>
      </c>
      <c r="B15" s="15">
        <v>0</v>
      </c>
      <c r="E15" s="2" t="s">
        <v>117</v>
      </c>
    </row>
    <row r="16" spans="1:6" x14ac:dyDescent="0.25">
      <c r="A16" s="1" t="s">
        <v>118</v>
      </c>
      <c r="B16" s="21" t="s">
        <v>82</v>
      </c>
      <c r="C16" s="23">
        <f>IFERROR(VLOOKUP(B16,Parametros!$A$57:$E$66,4,FALSE()),0)</f>
        <v>0.4</v>
      </c>
      <c r="D16" s="23">
        <f>IFERROR(VLOOKUP(B16,Parametros!$A$57:$E$66,5,FALSE()),0)</f>
        <v>0.4</v>
      </c>
      <c r="E16" s="2" t="s">
        <v>119</v>
      </c>
    </row>
    <row r="17" spans="1:6" ht="22.5" x14ac:dyDescent="0.25">
      <c r="A17" s="1" t="s">
        <v>120</v>
      </c>
      <c r="B17" s="22">
        <v>60000</v>
      </c>
      <c r="C17" s="23">
        <f>IF($B$12&gt;0,B17/$B$12,0)</f>
        <v>0.62417426945603216</v>
      </c>
      <c r="E17" s="2" t="s">
        <v>121</v>
      </c>
    </row>
    <row r="18" spans="1:6" x14ac:dyDescent="0.25">
      <c r="A18" s="1" t="s">
        <v>122</v>
      </c>
      <c r="C18" s="23">
        <f>1-C17</f>
        <v>0.37582573054396784</v>
      </c>
      <c r="E18" s="2" t="s">
        <v>123</v>
      </c>
    </row>
    <row r="19" spans="1:6" ht="22.5" x14ac:dyDescent="0.25">
      <c r="A19" s="1" t="s">
        <v>124</v>
      </c>
      <c r="B19" s="14" t="s">
        <v>125</v>
      </c>
      <c r="E19" s="2" t="s">
        <v>126</v>
      </c>
    </row>
    <row r="20" spans="1:6" ht="33.75" x14ac:dyDescent="0.25">
      <c r="A20" s="1" t="s">
        <v>127</v>
      </c>
      <c r="B20" s="22">
        <v>0</v>
      </c>
      <c r="E20" s="2" t="s">
        <v>128</v>
      </c>
    </row>
    <row r="22" spans="1:6" x14ac:dyDescent="0.25">
      <c r="A22" s="38" t="s">
        <v>129</v>
      </c>
      <c r="B22" s="38"/>
      <c r="C22" s="38"/>
      <c r="D22" s="38"/>
      <c r="E22" s="38"/>
      <c r="F22" s="38"/>
    </row>
    <row r="23" spans="1:6" x14ac:dyDescent="0.25">
      <c r="A23" s="1" t="s">
        <v>110</v>
      </c>
      <c r="B23" s="14" t="s">
        <v>32</v>
      </c>
      <c r="E23" s="2" t="s">
        <v>130</v>
      </c>
    </row>
    <row r="24" spans="1:6" x14ac:dyDescent="0.25">
      <c r="A24" s="1" t="s">
        <v>112</v>
      </c>
      <c r="B24" s="22">
        <v>50000</v>
      </c>
    </row>
    <row r="25" spans="1:6" x14ac:dyDescent="0.25">
      <c r="A25" s="1" t="s">
        <v>113</v>
      </c>
      <c r="B25" s="22">
        <v>0</v>
      </c>
      <c r="C25" s="23">
        <f>IF($B$24&gt;0,B25/$B$24,0)</f>
        <v>0</v>
      </c>
      <c r="E25" s="2" t="s">
        <v>114</v>
      </c>
    </row>
    <row r="26" spans="1:6" x14ac:dyDescent="0.25">
      <c r="A26" s="1" t="s">
        <v>115</v>
      </c>
      <c r="B26" s="22">
        <v>0</v>
      </c>
      <c r="C26" s="23">
        <f>IF($B$24&gt;0,B26/$B$24,0)</f>
        <v>0</v>
      </c>
      <c r="E26" s="2" t="s">
        <v>114</v>
      </c>
    </row>
    <row r="27" spans="1:6" ht="22.5" x14ac:dyDescent="0.25">
      <c r="A27" s="1" t="s">
        <v>116</v>
      </c>
      <c r="B27" s="15">
        <v>0</v>
      </c>
      <c r="E27" s="2" t="s">
        <v>117</v>
      </c>
    </row>
    <row r="28" spans="1:6" x14ac:dyDescent="0.25">
      <c r="A28" s="1" t="s">
        <v>118</v>
      </c>
      <c r="B28" s="21" t="s">
        <v>60</v>
      </c>
      <c r="C28" s="23">
        <f>IFERROR(VLOOKUP(B28,Parametros!$A$57:$E$66,4,FALSE()),0)</f>
        <v>0</v>
      </c>
      <c r="D28" s="23">
        <f>IFERROR(VLOOKUP(B28,Parametros!$A$57:$E$66,5,FALSE()),0)</f>
        <v>0</v>
      </c>
      <c r="E28" s="2" t="s">
        <v>119</v>
      </c>
    </row>
    <row r="29" spans="1:6" ht="22.5" x14ac:dyDescent="0.25">
      <c r="A29" s="1" t="s">
        <v>120</v>
      </c>
      <c r="B29" s="22">
        <v>0</v>
      </c>
      <c r="C29" s="23">
        <f>IF($B$24&gt;0,B29/$B$24,0)</f>
        <v>0</v>
      </c>
      <c r="E29" s="2" t="s">
        <v>121</v>
      </c>
    </row>
    <row r="30" spans="1:6" x14ac:dyDescent="0.25">
      <c r="A30" s="1" t="s">
        <v>122</v>
      </c>
      <c r="C30" s="23">
        <f>1-C29</f>
        <v>1</v>
      </c>
      <c r="E30" s="2" t="s">
        <v>123</v>
      </c>
    </row>
    <row r="31" spans="1:6" ht="22.5" x14ac:dyDescent="0.25">
      <c r="A31" s="1" t="s">
        <v>124</v>
      </c>
      <c r="B31" s="14" t="s">
        <v>125</v>
      </c>
      <c r="E31" s="2" t="s">
        <v>126</v>
      </c>
    </row>
    <row r="32" spans="1:6" ht="33.75" x14ac:dyDescent="0.25">
      <c r="A32" s="1" t="s">
        <v>127</v>
      </c>
      <c r="B32" s="22">
        <v>0</v>
      </c>
      <c r="E32" s="2" t="s">
        <v>128</v>
      </c>
    </row>
    <row r="34" spans="1:6" x14ac:dyDescent="0.25">
      <c r="A34" s="38" t="s">
        <v>131</v>
      </c>
      <c r="B34" s="38"/>
      <c r="C34" s="38"/>
      <c r="D34" s="38"/>
      <c r="E34" s="38"/>
      <c r="F34" s="38"/>
    </row>
    <row r="35" spans="1:6" ht="22.5" x14ac:dyDescent="0.25">
      <c r="A35" s="1" t="s">
        <v>132</v>
      </c>
      <c r="B35" s="15">
        <v>0.6</v>
      </c>
      <c r="E35" s="2" t="s">
        <v>133</v>
      </c>
    </row>
  </sheetData>
  <mergeCells count="6">
    <mergeCell ref="A34:F34"/>
    <mergeCell ref="A1:F1"/>
    <mergeCell ref="A3:F3"/>
    <mergeCell ref="B8:F8"/>
    <mergeCell ref="A10:F10"/>
    <mergeCell ref="A22:F22"/>
  </mergeCells>
  <dataValidations count="3">
    <dataValidation type="list" sqref="B5" xr:uid="{00000000-0002-0000-0300-000000000000}">
      <formula1>"2027,2028,2029,2030,2031,2032,2033"</formula1>
      <formula2>0</formula2>
    </dataValidation>
    <dataValidation type="list" sqref="B11 B23" xr:uid="{00000000-0002-0000-0300-000001000000}">
      <formula1>"I,II,III,IV,V"</formula1>
      <formula2>0</formula2>
    </dataValidation>
    <dataValidation type="list" sqref="B19 B31" xr:uid="{00000000-0002-0000-0300-000003000000}">
      <formula1>"S,N"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2000000}">
          <x14:formula1>
            <xm:f>Parametros!$A$57:$A$66</xm:f>
          </x14:formula1>
          <x14:formula2>
            <xm:f>0</xm:f>
          </x14:formula2>
          <xm:sqref>B16 B28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showGridLines="0" zoomScaleNormal="100" workbookViewId="0"/>
  </sheetViews>
  <sheetFormatPr defaultColWidth="8.7109375" defaultRowHeight="15" x14ac:dyDescent="0.25"/>
  <cols>
    <col min="1" max="1" width="52" customWidth="1"/>
    <col min="2" max="2" width="16" customWidth="1"/>
    <col min="3" max="3" width="12" customWidth="1"/>
    <col min="4" max="4" width="16" customWidth="1"/>
    <col min="5" max="5" width="18" customWidth="1"/>
    <col min="6" max="6" width="16" customWidth="1"/>
  </cols>
  <sheetData>
    <row r="1" spans="1:6" ht="24" customHeight="1" x14ac:dyDescent="0.25">
      <c r="A1" s="40" t="s">
        <v>134</v>
      </c>
      <c r="B1" s="40"/>
      <c r="C1" s="40"/>
      <c r="D1" s="40"/>
      <c r="E1" s="40"/>
      <c r="F1" s="40"/>
    </row>
    <row r="3" spans="1:6" ht="15" customHeight="1" x14ac:dyDescent="0.25">
      <c r="A3" s="39" t="s">
        <v>135</v>
      </c>
      <c r="B3" s="39"/>
      <c r="C3" s="39"/>
      <c r="D3" s="39"/>
      <c r="E3" s="39"/>
      <c r="F3" s="39"/>
    </row>
    <row r="4" spans="1:6" x14ac:dyDescent="0.25">
      <c r="A4" s="39"/>
      <c r="B4" s="39"/>
      <c r="C4" s="39"/>
      <c r="D4" s="39"/>
      <c r="E4" s="39"/>
      <c r="F4" s="39"/>
    </row>
    <row r="6" spans="1:6" ht="39.75" customHeight="1" x14ac:dyDescent="0.25">
      <c r="A6" s="4" t="s">
        <v>136</v>
      </c>
      <c r="B6" s="4" t="s">
        <v>137</v>
      </c>
      <c r="C6" s="4" t="s">
        <v>138</v>
      </c>
      <c r="D6" s="4" t="s">
        <v>139</v>
      </c>
      <c r="E6" s="4" t="s">
        <v>140</v>
      </c>
      <c r="F6" s="4" t="s">
        <v>141</v>
      </c>
    </row>
    <row r="8" spans="1:6" x14ac:dyDescent="0.25">
      <c r="A8" s="42" t="s">
        <v>142</v>
      </c>
      <c r="B8" s="42"/>
      <c r="C8" s="42"/>
      <c r="D8" s="42"/>
      <c r="E8" s="42"/>
      <c r="F8" s="42"/>
    </row>
    <row r="9" spans="1:6" x14ac:dyDescent="0.25">
      <c r="A9" s="1" t="s">
        <v>143</v>
      </c>
      <c r="B9" s="22">
        <v>60000</v>
      </c>
      <c r="C9" s="24" t="s">
        <v>125</v>
      </c>
      <c r="D9" s="15">
        <v>0.85</v>
      </c>
      <c r="E9" s="15">
        <v>0</v>
      </c>
      <c r="F9" s="25">
        <f>B9*IF(C9="S",1,0)*D9*(1-E9)*Cen2_Hibrido!$B$6</f>
        <v>4488</v>
      </c>
    </row>
    <row r="10" spans="1:6" x14ac:dyDescent="0.25">
      <c r="A10" s="1" t="s">
        <v>144</v>
      </c>
      <c r="B10" s="22">
        <v>20000</v>
      </c>
      <c r="C10" s="24" t="s">
        <v>125</v>
      </c>
      <c r="D10" s="15">
        <v>0.8</v>
      </c>
      <c r="E10" s="15">
        <v>0</v>
      </c>
      <c r="F10" s="25">
        <f>B10*IF(C10="S",1,0)*D10*(1-E10)*Cen2_Hibrido!$B$6</f>
        <v>1408</v>
      </c>
    </row>
    <row r="11" spans="1:6" x14ac:dyDescent="0.25">
      <c r="A11" s="1" t="s">
        <v>145</v>
      </c>
      <c r="B11" s="22">
        <v>5000</v>
      </c>
      <c r="C11" s="24" t="s">
        <v>125</v>
      </c>
      <c r="D11" s="15">
        <v>0.8</v>
      </c>
      <c r="E11" s="15">
        <v>0</v>
      </c>
      <c r="F11" s="25">
        <f>B11*IF(C11="S",1,0)*D11*(1-E11)*Cen2_Hibrido!$B$6</f>
        <v>352</v>
      </c>
    </row>
    <row r="12" spans="1:6" x14ac:dyDescent="0.25">
      <c r="A12" s="1" t="s">
        <v>146</v>
      </c>
      <c r="B12" s="22">
        <v>8000</v>
      </c>
      <c r="C12" s="24" t="s">
        <v>125</v>
      </c>
      <c r="D12" s="15">
        <v>0.7</v>
      </c>
      <c r="E12" s="15">
        <v>0</v>
      </c>
      <c r="F12" s="25">
        <f>B12*IF(C12="S",1,0)*D12*(1-E12)*Cen2_Hibrido!$B$6</f>
        <v>492.79999999999995</v>
      </c>
    </row>
    <row r="13" spans="1:6" x14ac:dyDescent="0.25">
      <c r="A13" s="26" t="s">
        <v>147</v>
      </c>
      <c r="B13" s="27">
        <f>SUM(B9:B12)</f>
        <v>93000</v>
      </c>
      <c r="C13" s="28"/>
      <c r="D13" s="28"/>
      <c r="E13" s="28"/>
      <c r="F13" s="27">
        <f>SUM(F9:F12)</f>
        <v>6740.8</v>
      </c>
    </row>
    <row r="15" spans="1:6" x14ac:dyDescent="0.25">
      <c r="A15" s="42" t="s">
        <v>148</v>
      </c>
      <c r="B15" s="42"/>
      <c r="C15" s="42"/>
      <c r="D15" s="42"/>
      <c r="E15" s="42"/>
      <c r="F15" s="42"/>
    </row>
    <row r="16" spans="1:6" x14ac:dyDescent="0.25">
      <c r="A16" s="1" t="s">
        <v>149</v>
      </c>
      <c r="B16" s="22">
        <v>3000</v>
      </c>
      <c r="C16" s="24" t="s">
        <v>125</v>
      </c>
      <c r="D16" s="15">
        <v>0.8</v>
      </c>
      <c r="E16" s="15">
        <v>0</v>
      </c>
      <c r="F16" s="25">
        <f>B16*IF(C16="S",1,0)*D16*(1-E16)*Cen2_Hibrido!$B$6</f>
        <v>211.2</v>
      </c>
    </row>
    <row r="17" spans="1:6" x14ac:dyDescent="0.25">
      <c r="A17" s="1" t="s">
        <v>150</v>
      </c>
      <c r="B17" s="22">
        <v>2000</v>
      </c>
      <c r="C17" s="24" t="s">
        <v>125</v>
      </c>
      <c r="D17" s="15">
        <v>0.7</v>
      </c>
      <c r="E17" s="15">
        <v>0</v>
      </c>
      <c r="F17" s="25">
        <f>B17*IF(C17="S",1,0)*D17*(1-E17)*Cen2_Hibrido!$B$6</f>
        <v>123.19999999999999</v>
      </c>
    </row>
    <row r="18" spans="1:6" x14ac:dyDescent="0.25">
      <c r="A18" s="26" t="s">
        <v>147</v>
      </c>
      <c r="B18" s="27">
        <f>SUM(B16:B17)</f>
        <v>5000</v>
      </c>
      <c r="C18" s="28"/>
      <c r="D18" s="28"/>
      <c r="E18" s="28"/>
      <c r="F18" s="27">
        <f>SUM(F16:F17)</f>
        <v>334.4</v>
      </c>
    </row>
    <row r="20" spans="1:6" x14ac:dyDescent="0.25">
      <c r="A20" s="42" t="s">
        <v>151</v>
      </c>
      <c r="B20" s="42"/>
      <c r="C20" s="42"/>
      <c r="D20" s="42"/>
      <c r="E20" s="42"/>
      <c r="F20" s="42"/>
    </row>
    <row r="21" spans="1:6" x14ac:dyDescent="0.25">
      <c r="A21" s="1" t="s">
        <v>152</v>
      </c>
      <c r="B21" s="22">
        <v>6000</v>
      </c>
      <c r="C21" s="24" t="s">
        <v>125</v>
      </c>
      <c r="D21" s="15">
        <v>1</v>
      </c>
      <c r="E21" s="15">
        <v>0</v>
      </c>
      <c r="F21" s="25">
        <f>B21*IF(C21="S",1,0)*D21*(1-E21)*Cen2_Hibrido!$B$6</f>
        <v>528</v>
      </c>
    </row>
    <row r="22" spans="1:6" x14ac:dyDescent="0.25">
      <c r="A22" s="1" t="s">
        <v>153</v>
      </c>
      <c r="B22" s="22">
        <v>8000</v>
      </c>
      <c r="C22" s="24" t="s">
        <v>125</v>
      </c>
      <c r="D22" s="15">
        <v>1</v>
      </c>
      <c r="E22" s="15">
        <v>0</v>
      </c>
      <c r="F22" s="25">
        <f>B22*IF(C22="S",1,0)*D22*(1-E22)*Cen2_Hibrido!$B$6</f>
        <v>704</v>
      </c>
    </row>
    <row r="23" spans="1:6" x14ac:dyDescent="0.25">
      <c r="A23" s="1" t="s">
        <v>154</v>
      </c>
      <c r="B23" s="22">
        <v>6000</v>
      </c>
      <c r="C23" s="24" t="s">
        <v>125</v>
      </c>
      <c r="D23" s="15">
        <v>0.7</v>
      </c>
      <c r="E23" s="15">
        <v>0</v>
      </c>
      <c r="F23" s="25">
        <f>B23*IF(C23="S",1,0)*D23*(1-E23)*Cen2_Hibrido!$B$6</f>
        <v>369.59999999999997</v>
      </c>
    </row>
    <row r="24" spans="1:6" x14ac:dyDescent="0.25">
      <c r="A24" s="1" t="s">
        <v>155</v>
      </c>
      <c r="B24" s="22">
        <v>2000</v>
      </c>
      <c r="C24" s="24" t="s">
        <v>125</v>
      </c>
      <c r="D24" s="15">
        <v>1</v>
      </c>
      <c r="E24" s="15">
        <v>0</v>
      </c>
      <c r="F24" s="25">
        <f>B24*IF(C24="S",1,0)*D24*(1-E24)*Cen2_Hibrido!$B$6</f>
        <v>176</v>
      </c>
    </row>
    <row r="25" spans="1:6" x14ac:dyDescent="0.25">
      <c r="A25" s="1" t="s">
        <v>156</v>
      </c>
      <c r="B25" s="22">
        <v>3000</v>
      </c>
      <c r="C25" s="24" t="s">
        <v>125</v>
      </c>
      <c r="D25" s="15">
        <v>1</v>
      </c>
      <c r="E25" s="15">
        <v>0</v>
      </c>
      <c r="F25" s="25">
        <f>B25*IF(C25="S",1,0)*D25*(1-E25)*Cen2_Hibrido!$B$6</f>
        <v>264</v>
      </c>
    </row>
    <row r="26" spans="1:6" x14ac:dyDescent="0.25">
      <c r="A26" s="1" t="s">
        <v>157</v>
      </c>
      <c r="B26" s="22">
        <v>2000</v>
      </c>
      <c r="C26" s="24" t="s">
        <v>125</v>
      </c>
      <c r="D26" s="15">
        <v>1</v>
      </c>
      <c r="E26" s="15">
        <v>0</v>
      </c>
      <c r="F26" s="25">
        <f>B26*IF(C26="S",1,0)*D26*(1-E26)*Cen2_Hibrido!$B$6</f>
        <v>176</v>
      </c>
    </row>
    <row r="27" spans="1:6" x14ac:dyDescent="0.25">
      <c r="A27" s="1" t="s">
        <v>158</v>
      </c>
      <c r="B27" s="22">
        <v>0</v>
      </c>
      <c r="C27" s="24" t="s">
        <v>125</v>
      </c>
      <c r="D27" s="15">
        <v>1</v>
      </c>
      <c r="E27" s="15">
        <v>0</v>
      </c>
      <c r="F27" s="25">
        <f>B27*IF(C27="S",1,0)*D27*(1-E27)*Cen2_Hibrido!$B$6</f>
        <v>0</v>
      </c>
    </row>
    <row r="28" spans="1:6" x14ac:dyDescent="0.25">
      <c r="A28" s="26" t="s">
        <v>147</v>
      </c>
      <c r="B28" s="27">
        <f>SUM(B21:B27)</f>
        <v>27000</v>
      </c>
      <c r="C28" s="28"/>
      <c r="D28" s="28"/>
      <c r="E28" s="28"/>
      <c r="F28" s="27">
        <f>SUM(F21:F27)</f>
        <v>2217.6</v>
      </c>
    </row>
    <row r="30" spans="1:6" x14ac:dyDescent="0.25">
      <c r="A30" s="42" t="s">
        <v>159</v>
      </c>
      <c r="B30" s="42"/>
      <c r="C30" s="42"/>
      <c r="D30" s="42"/>
      <c r="E30" s="42"/>
      <c r="F30" s="42"/>
    </row>
    <row r="31" spans="1:6" x14ac:dyDescent="0.25">
      <c r="A31" s="1" t="s">
        <v>160</v>
      </c>
      <c r="B31" s="22">
        <v>3000</v>
      </c>
      <c r="C31" s="24" t="s">
        <v>161</v>
      </c>
      <c r="D31" s="15">
        <v>0</v>
      </c>
      <c r="E31" s="15">
        <v>0</v>
      </c>
      <c r="F31" s="25">
        <f>B31*IF(C31="S",1,0)*D31*(1-E31)*Cen2_Hibrido!$B$6</f>
        <v>0</v>
      </c>
    </row>
    <row r="32" spans="1:6" x14ac:dyDescent="0.25">
      <c r="A32" s="1" t="s">
        <v>162</v>
      </c>
      <c r="B32" s="22">
        <v>25000</v>
      </c>
      <c r="C32" s="24" t="s">
        <v>161</v>
      </c>
      <c r="D32" s="15">
        <v>0</v>
      </c>
      <c r="E32" s="15">
        <v>0</v>
      </c>
      <c r="F32" s="25">
        <f>B32*IF(C32="S",1,0)*D32*(1-E32)*Cen2_Hibrido!$B$6</f>
        <v>0</v>
      </c>
    </row>
    <row r="33" spans="1:6" x14ac:dyDescent="0.25">
      <c r="A33" s="1" t="s">
        <v>163</v>
      </c>
      <c r="B33" s="22">
        <v>0</v>
      </c>
      <c r="C33" s="24" t="s">
        <v>161</v>
      </c>
      <c r="D33" s="15">
        <v>0</v>
      </c>
      <c r="E33" s="15">
        <v>0</v>
      </c>
      <c r="F33" s="25">
        <f>B33*IF(C33="S",1,0)*D33*(1-E33)*Cen2_Hibrido!$B$6</f>
        <v>0</v>
      </c>
    </row>
    <row r="34" spans="1:6" x14ac:dyDescent="0.25">
      <c r="A34" s="26" t="s">
        <v>147</v>
      </c>
      <c r="B34" s="27">
        <f>SUM(B31:B33)</f>
        <v>28000</v>
      </c>
      <c r="C34" s="28"/>
      <c r="D34" s="28"/>
      <c r="E34" s="28"/>
      <c r="F34" s="27">
        <f>SUM(F31:F33)</f>
        <v>0</v>
      </c>
    </row>
    <row r="36" spans="1:6" x14ac:dyDescent="0.25">
      <c r="A36" s="26" t="s">
        <v>164</v>
      </c>
      <c r="B36" s="27">
        <f>B13+B18+B28+B34</f>
        <v>153000</v>
      </c>
      <c r="C36" s="28"/>
      <c r="D36" s="28"/>
      <c r="E36" s="28"/>
      <c r="F36" s="27">
        <f>F13+F18+F28+F34</f>
        <v>9292.7999999999993</v>
      </c>
    </row>
    <row r="37" spans="1:6" x14ac:dyDescent="0.25">
      <c r="A37" s="10" t="s">
        <v>165</v>
      </c>
      <c r="B37" s="25">
        <f>B13+B18+B28</f>
        <v>125000</v>
      </c>
    </row>
  </sheetData>
  <mergeCells count="6">
    <mergeCell ref="A30:F30"/>
    <mergeCell ref="A1:F1"/>
    <mergeCell ref="A3:F4"/>
    <mergeCell ref="A8:F8"/>
    <mergeCell ref="A15:F15"/>
    <mergeCell ref="A20:F20"/>
  </mergeCells>
  <dataValidations count="1">
    <dataValidation type="list" sqref="C9:C12 C16:C17 C21:C27 C31:C33" xr:uid="{00000000-0002-0000-0400-000000000000}">
      <formula1>"S,N"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showGridLines="0" zoomScaleNormal="100" workbookViewId="0"/>
  </sheetViews>
  <sheetFormatPr defaultColWidth="8.7109375" defaultRowHeight="15" x14ac:dyDescent="0.25"/>
  <cols>
    <col min="1" max="1" width="58" customWidth="1"/>
    <col min="2" max="3" width="20" customWidth="1"/>
    <col min="4" max="4" width="60" customWidth="1"/>
  </cols>
  <sheetData>
    <row r="1" spans="1:4" ht="24" customHeight="1" x14ac:dyDescent="0.25">
      <c r="A1" s="40" t="s">
        <v>166</v>
      </c>
      <c r="B1" s="40"/>
      <c r="C1" s="40"/>
      <c r="D1" s="40"/>
    </row>
    <row r="3" spans="1:4" x14ac:dyDescent="0.25">
      <c r="A3" s="10" t="s">
        <v>104</v>
      </c>
      <c r="B3" s="29" t="str">
        <f>Dados!B5</f>
        <v>2027</v>
      </c>
    </row>
    <row r="4" spans="1:4" x14ac:dyDescent="0.25">
      <c r="A4" s="10" t="s">
        <v>167</v>
      </c>
      <c r="B4" s="9">
        <f>VLOOKUP(Dados!$B$5,Parametros!$A$41:$C$47,2,FALSE())</f>
        <v>1</v>
      </c>
    </row>
    <row r="5" spans="1:4" x14ac:dyDescent="0.25">
      <c r="A5" s="10" t="s">
        <v>168</v>
      </c>
      <c r="B5" s="9">
        <f>VLOOKUP(Dados!$B$5,Parametros!$A$41:$C$47,3,FALSE())</f>
        <v>0</v>
      </c>
    </row>
    <row r="7" spans="1:4" x14ac:dyDescent="0.25">
      <c r="A7" s="38" t="s">
        <v>169</v>
      </c>
      <c r="B7" s="38"/>
      <c r="C7" s="38"/>
      <c r="D7" s="38"/>
    </row>
    <row r="8" spans="1:4" x14ac:dyDescent="0.25">
      <c r="B8" s="30" t="s">
        <v>170</v>
      </c>
      <c r="C8" s="30" t="s">
        <v>171</v>
      </c>
    </row>
    <row r="9" spans="1:4" x14ac:dyDescent="0.25">
      <c r="A9" s="1" t="s">
        <v>21</v>
      </c>
      <c r="B9" s="31" t="str">
        <f>Dados!$B$11</f>
        <v>I</v>
      </c>
      <c r="C9" s="31" t="str">
        <f>Dados!$B$23</f>
        <v>III</v>
      </c>
    </row>
    <row r="10" spans="1:4" x14ac:dyDescent="0.25">
      <c r="A10" s="1" t="s">
        <v>172</v>
      </c>
      <c r="B10" s="32">
        <f>Dados!$B$12</f>
        <v>96127</v>
      </c>
      <c r="C10" s="32">
        <f>Dados!$B$24</f>
        <v>50000</v>
      </c>
    </row>
    <row r="11" spans="1:4" x14ac:dyDescent="0.25">
      <c r="A11" s="1" t="s">
        <v>173</v>
      </c>
      <c r="B11" s="7">
        <f>SUMIFS(Parametros!$E$6:$E$35,Parametros!$A$6:$A$35,B9,Parametros!$C$6:$C$35,"&lt;="&amp;Dados!$B$6,Parametros!$D$6:$D$35,"&gt;="&amp;Dados!$B$6)</f>
        <v>0.107</v>
      </c>
      <c r="C11" s="7">
        <f>SUMIFS(Parametros!$E$6:$E$35,Parametros!$A$6:$A$35,C9,Parametros!$C$6:$C$35,"&lt;="&amp;Dados!$B$6,Parametros!$D$6:$D$35,"&gt;="&amp;Dados!$B$6)</f>
        <v>0.16</v>
      </c>
    </row>
    <row r="12" spans="1:4" x14ac:dyDescent="0.25">
      <c r="A12" s="1" t="s">
        <v>26</v>
      </c>
      <c r="B12" s="25">
        <f>SUMIFS(Parametros!$F$6:$F$35,Parametros!$A$6:$A$35,B9,Parametros!$C$6:$C$35,"&lt;="&amp;Dados!$B$6,Parametros!$D$6:$D$35,"&gt;="&amp;Dados!$B$6)</f>
        <v>22500</v>
      </c>
      <c r="C12" s="25">
        <f>SUMIFS(Parametros!$F$6:$F$35,Parametros!$A$6:$A$35,C9,Parametros!$C$6:$C$35,"&lt;="&amp;Dados!$B$6,Parametros!$D$6:$D$35,"&gt;="&amp;Dados!$B$6)</f>
        <v>35640</v>
      </c>
    </row>
    <row r="13" spans="1:4" x14ac:dyDescent="0.25">
      <c r="A13" s="10" t="s">
        <v>174</v>
      </c>
      <c r="B13" s="12">
        <f>IF(Dados!$B$6&gt;0,MAX((Dados!$B$6*B11-B12)/Dados!$B$6,0),0)</f>
        <v>7.9628262017750112E-2</v>
      </c>
      <c r="C13" s="12">
        <f>IF(Dados!$B$6&gt;0,MAX((Dados!$B$6*C11-C12)/Dados!$B$6,0),0)</f>
        <v>0.1166431670361162</v>
      </c>
    </row>
    <row r="14" spans="1:4" x14ac:dyDescent="0.25">
      <c r="A14" s="1" t="s">
        <v>175</v>
      </c>
      <c r="B14" s="7">
        <f>SUMIFS(Parametros!$H$6:$H$35,Parametros!$A$6:$A$35,B9,Parametros!$C$6:$C$35,"&lt;="&amp;Dados!$B$6,Parametros!$D$6:$D$35,"&gt;="&amp;Dados!$B$6)</f>
        <v>0.155</v>
      </c>
      <c r="C14" s="7">
        <f>SUMIFS(Parametros!$H$6:$H$35,Parametros!$A$6:$A$35,C9,Parametros!$C$6:$C$35,"&lt;="&amp;Dados!$B$6,Parametros!$D$6:$D$35,"&gt;="&amp;Dados!$B$6)</f>
        <v>0.16600000000000001</v>
      </c>
    </row>
    <row r="15" spans="1:4" x14ac:dyDescent="0.25">
      <c r="A15" s="1" t="s">
        <v>176</v>
      </c>
      <c r="B15" s="7">
        <f>SUMIFS(Parametros!$I$6:$I$35,Parametros!$A$6:$A$35,B9,Parametros!$C$6:$C$35,"&lt;="&amp;Dados!$B$6,Parametros!$D$6:$D$35,"&gt;="&amp;Dados!$B$6)</f>
        <v>0.33500000000000002</v>
      </c>
      <c r="C15" s="7">
        <f>SUMIFS(Parametros!$I$6:$I$35,Parametros!$A$6:$A$35,C9,Parametros!$C$6:$C$35,"&lt;="&amp;Dados!$B$6,Parametros!$D$6:$D$35,"&gt;="&amp;Dados!$B$6)</f>
        <v>0.32500000000000001</v>
      </c>
    </row>
    <row r="16" spans="1:4" x14ac:dyDescent="0.25">
      <c r="A16" s="1" t="s">
        <v>177</v>
      </c>
      <c r="B16" s="25">
        <f>B10*(1-Dados!$C$13-Dados!$C$14)</f>
        <v>-94231.239999999976</v>
      </c>
      <c r="C16" s="25">
        <f>C10*(1-Dados!$C$25-Dados!$C$26)</f>
        <v>50000</v>
      </c>
    </row>
    <row r="17" spans="1:4" x14ac:dyDescent="0.25">
      <c r="A17" s="1" t="s">
        <v>178</v>
      </c>
      <c r="B17" s="25">
        <f>B10*Dados!$C$13</f>
        <v>190358.24</v>
      </c>
      <c r="C17" s="25">
        <f>C10*Dados!$C$25</f>
        <v>0</v>
      </c>
    </row>
    <row r="18" spans="1:4" x14ac:dyDescent="0.25">
      <c r="A18" s="1" t="s">
        <v>179</v>
      </c>
      <c r="B18" s="25">
        <f>B10*Dados!$C$14</f>
        <v>0</v>
      </c>
      <c r="C18" s="25">
        <f>C10*Dados!$C$26</f>
        <v>0</v>
      </c>
    </row>
    <row r="19" spans="1:4" x14ac:dyDescent="0.25">
      <c r="A19" s="1" t="s">
        <v>180</v>
      </c>
      <c r="B19" s="7">
        <f>B13</f>
        <v>7.9628262017750112E-2</v>
      </c>
      <c r="C19" s="7">
        <f>C13</f>
        <v>0.1166431670361162</v>
      </c>
    </row>
    <row r="20" spans="1:4" ht="15" customHeight="1" x14ac:dyDescent="0.25">
      <c r="A20" s="1" t="s">
        <v>181</v>
      </c>
      <c r="B20" s="7">
        <f>B13*(1-B15*((1-$B$5)+$B$5*Dados!$B$15))</f>
        <v>5.2952794241803824E-2</v>
      </c>
      <c r="C20" s="7">
        <f>C13*(1-C15*((1-$B$5)+$B$5*Dados!$B$27))</f>
        <v>7.8734137749378444E-2</v>
      </c>
      <c r="D20" s="39" t="s">
        <v>182</v>
      </c>
    </row>
    <row r="21" spans="1:4" x14ac:dyDescent="0.25">
      <c r="A21" s="1" t="s">
        <v>183</v>
      </c>
      <c r="B21" s="7">
        <f>B13*(1-B14*$B$4*Dados!$B$15)</f>
        <v>7.9628262017750112E-2</v>
      </c>
      <c r="C21" s="7">
        <f>C13*(1-C14*$B$4*Dados!$B$27)</f>
        <v>0.1166431670361162</v>
      </c>
      <c r="D21" s="39"/>
    </row>
    <row r="22" spans="1:4" ht="33.75" x14ac:dyDescent="0.25">
      <c r="A22" s="10" t="s">
        <v>184</v>
      </c>
      <c r="B22" s="33">
        <f>B16*B19+B17*B20+B18*B21</f>
        <v>2576.5308459744165</v>
      </c>
      <c r="C22" s="33">
        <f>C16*C19+C17*C20+C18*C21</f>
        <v>5832.1583518058096</v>
      </c>
      <c r="D22" s="2" t="s">
        <v>185</v>
      </c>
    </row>
    <row r="23" spans="1:4" ht="22.5" x14ac:dyDescent="0.25">
      <c r="A23" s="10" t="s">
        <v>186</v>
      </c>
      <c r="B23" s="25">
        <f>B13*(B16*(B14*$B$4+B15*$B$5)+B17*(B14*$B$4+B15*$B$5*(1-Dados!$B$15))+B18*(B14*$B$4*(1-Dados!$B$15)+B15*$B$5))</f>
        <v>1186.4360211619412</v>
      </c>
      <c r="C23" s="25">
        <f>C13*(C16*(C14*$B$4+C15*$B$5)+C17*(C14*$B$4+C15*$B$5*(1-Dados!$B$27))+C18*(C14*$B$4*(1-Dados!$B$27)+C15*$B$5))</f>
        <v>968.13828639976441</v>
      </c>
      <c r="D23" s="2" t="s">
        <v>187</v>
      </c>
    </row>
    <row r="24" spans="1:4" x14ac:dyDescent="0.25">
      <c r="A24" s="10" t="s">
        <v>188</v>
      </c>
      <c r="B24" s="25">
        <f>IF(Dados!$B$19="S",1,0)*B23*Dados!$B$35</f>
        <v>711.86161269716467</v>
      </c>
      <c r="C24" s="25">
        <f>IF(Dados!$B$31="S",1,0)*C23*Dados!$B$35</f>
        <v>580.88297183985867</v>
      </c>
    </row>
    <row r="25" spans="1:4" x14ac:dyDescent="0.25">
      <c r="A25" s="10" t="s">
        <v>189</v>
      </c>
      <c r="B25" s="34">
        <f>SUMIFS(Parametros!$B$6:$B$35,Parametros!$A$6:$A$35,B9,Parametros!$C$6:$C$35,"&lt;="&amp;Dados!$B$6,Parametros!$D$6:$D$35,"&gt;="&amp;Dados!$B$6)</f>
        <v>4</v>
      </c>
      <c r="C25" s="34">
        <f>SUMIFS(Parametros!$B$6:$B$35,Parametros!$A$6:$A$35,C9,Parametros!$C$6:$C$35,"&lt;="&amp;Dados!$B$6,Parametros!$D$6:$D$35,"&gt;="&amp;Dados!$B$6)</f>
        <v>4</v>
      </c>
    </row>
    <row r="26" spans="1:4" x14ac:dyDescent="0.25">
      <c r="A26" s="38" t="s">
        <v>190</v>
      </c>
      <c r="B26" s="38"/>
      <c r="C26" s="38"/>
      <c r="D26" s="38"/>
    </row>
    <row r="27" spans="1:4" x14ac:dyDescent="0.25">
      <c r="A27" s="10" t="s">
        <v>191</v>
      </c>
      <c r="B27" s="27">
        <f>B22+C22</f>
        <v>8408.6891977802261</v>
      </c>
    </row>
    <row r="28" spans="1:4" x14ac:dyDescent="0.25">
      <c r="A28" s="10" t="s">
        <v>192</v>
      </c>
      <c r="B28" s="33">
        <f>B24+C24</f>
        <v>1292.7445845370235</v>
      </c>
    </row>
  </sheetData>
  <mergeCells count="4">
    <mergeCell ref="A1:D1"/>
    <mergeCell ref="A7:D7"/>
    <mergeCell ref="D20:D21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6"/>
  <sheetViews>
    <sheetView showGridLines="0" zoomScaleNormal="100" workbookViewId="0"/>
  </sheetViews>
  <sheetFormatPr defaultColWidth="8.7109375" defaultRowHeight="15" x14ac:dyDescent="0.25"/>
  <cols>
    <col min="1" max="1" width="58" customWidth="1"/>
    <col min="2" max="3" width="20" customWidth="1"/>
    <col min="4" max="4" width="60" customWidth="1"/>
  </cols>
  <sheetData>
    <row r="1" spans="1:4" ht="24" customHeight="1" x14ac:dyDescent="0.25">
      <c r="A1" s="40" t="s">
        <v>193</v>
      </c>
      <c r="B1" s="40"/>
      <c r="C1" s="40"/>
      <c r="D1" s="40"/>
    </row>
    <row r="3" spans="1:4" x14ac:dyDescent="0.25">
      <c r="A3" s="10" t="s">
        <v>104</v>
      </c>
      <c r="B3" s="29" t="str">
        <f>Dados!B5</f>
        <v>2027</v>
      </c>
    </row>
    <row r="4" spans="1:4" x14ac:dyDescent="0.25">
      <c r="A4" s="10" t="s">
        <v>194</v>
      </c>
      <c r="B4" s="35">
        <f>Cen1_PGDAS!B4</f>
        <v>1</v>
      </c>
    </row>
    <row r="5" spans="1:4" x14ac:dyDescent="0.25">
      <c r="A5" s="10" t="s">
        <v>195</v>
      </c>
      <c r="B5" s="35">
        <f>Cen1_PGDAS!B5</f>
        <v>0</v>
      </c>
    </row>
    <row r="6" spans="1:4" x14ac:dyDescent="0.25">
      <c r="A6" s="10" t="s">
        <v>196</v>
      </c>
      <c r="B6" s="12">
        <f>Parametros!$B$51*$B$4+Parametros!$B$52*$B$5</f>
        <v>8.7999999999999995E-2</v>
      </c>
    </row>
    <row r="8" spans="1:4" x14ac:dyDescent="0.25">
      <c r="A8" s="38" t="s">
        <v>197</v>
      </c>
      <c r="B8" s="38"/>
      <c r="C8" s="38"/>
      <c r="D8" s="38"/>
    </row>
    <row r="9" spans="1:4" x14ac:dyDescent="0.25">
      <c r="B9" s="30" t="s">
        <v>170</v>
      </c>
      <c r="C9" s="30" t="s">
        <v>171</v>
      </c>
    </row>
    <row r="10" spans="1:4" x14ac:dyDescent="0.25">
      <c r="A10" s="1" t="s">
        <v>172</v>
      </c>
      <c r="B10" s="32">
        <f>Cen1_PGDAS!B10</f>
        <v>96127</v>
      </c>
      <c r="C10" s="32">
        <f>Cen1_PGDAS!C10</f>
        <v>50000</v>
      </c>
    </row>
    <row r="11" spans="1:4" x14ac:dyDescent="0.25">
      <c r="A11" s="1" t="s">
        <v>177</v>
      </c>
      <c r="B11" s="32">
        <f>Cen1_PGDAS!B16</f>
        <v>-94231.239999999976</v>
      </c>
      <c r="C11" s="32">
        <f>Cen1_PGDAS!C16</f>
        <v>50000</v>
      </c>
    </row>
    <row r="12" spans="1:4" x14ac:dyDescent="0.25">
      <c r="A12" s="1" t="s">
        <v>178</v>
      </c>
      <c r="B12" s="32">
        <f>Cen1_PGDAS!B17</f>
        <v>190358.24</v>
      </c>
      <c r="C12" s="32">
        <f>Cen1_PGDAS!C17</f>
        <v>0</v>
      </c>
    </row>
    <row r="13" spans="1:4" x14ac:dyDescent="0.25">
      <c r="A13" s="1" t="s">
        <v>179</v>
      </c>
      <c r="B13" s="32">
        <f>Cen1_PGDAS!B18</f>
        <v>0</v>
      </c>
      <c r="C13" s="32">
        <f>Cen1_PGDAS!C18</f>
        <v>0</v>
      </c>
    </row>
    <row r="14" spans="1:4" x14ac:dyDescent="0.25">
      <c r="A14" s="1" t="s">
        <v>198</v>
      </c>
      <c r="B14" s="19">
        <f>Cen1_PGDAS!B13</f>
        <v>7.9628262017750112E-2</v>
      </c>
      <c r="C14" s="19">
        <f>Cen1_PGDAS!C13</f>
        <v>0.1166431670361162</v>
      </c>
    </row>
    <row r="15" spans="1:4" x14ac:dyDescent="0.25">
      <c r="A15" s="1" t="s">
        <v>199</v>
      </c>
      <c r="B15" s="19">
        <f>Cen1_PGDAS!B14</f>
        <v>0.155</v>
      </c>
      <c r="C15" s="19">
        <f>Cen1_PGDAS!C14</f>
        <v>0.16600000000000001</v>
      </c>
    </row>
    <row r="16" spans="1:4" x14ac:dyDescent="0.25">
      <c r="A16" s="1" t="s">
        <v>200</v>
      </c>
      <c r="B16" s="19">
        <f>Cen1_PGDAS!B15</f>
        <v>0.33500000000000002</v>
      </c>
      <c r="C16" s="19">
        <f>Cen1_PGDAS!C15</f>
        <v>0.32500000000000001</v>
      </c>
    </row>
    <row r="17" spans="1:4" x14ac:dyDescent="0.25">
      <c r="A17" s="1" t="s">
        <v>201</v>
      </c>
      <c r="B17" s="36" t="str">
        <f>Dados!$B$16</f>
        <v>RED-40-BAR-REST</v>
      </c>
      <c r="C17" s="36" t="str">
        <f>Dados!$B$28</f>
        <v>000001</v>
      </c>
    </row>
    <row r="18" spans="1:4" x14ac:dyDescent="0.25">
      <c r="A18" s="1" t="s">
        <v>202</v>
      </c>
      <c r="B18" s="35">
        <f>Dados!$C$17</f>
        <v>0.62417426945603216</v>
      </c>
      <c r="C18" s="35">
        <f>Dados!$C$29</f>
        <v>0</v>
      </c>
    </row>
    <row r="19" spans="1:4" ht="15" customHeight="1" x14ac:dyDescent="0.25">
      <c r="A19" s="1" t="s">
        <v>203</v>
      </c>
      <c r="B19" s="9">
        <f>IFERROR(VLOOKUP(B17,Parametros!$A$57:$E$66,4,FALSE()),0)</f>
        <v>0.4</v>
      </c>
      <c r="C19" s="9">
        <f>IFERROR(VLOOKUP(C17,Parametros!$A$57:$E$66,4,FALSE()),0)</f>
        <v>0</v>
      </c>
      <c r="D19" s="39" t="s">
        <v>204</v>
      </c>
    </row>
    <row r="20" spans="1:4" x14ac:dyDescent="0.25">
      <c r="A20" s="1" t="s">
        <v>205</v>
      </c>
      <c r="B20" s="9">
        <f>IFERROR(VLOOKUP(B17,Parametros!$A$57:$E$66,5,FALSE()),0)</f>
        <v>0.4</v>
      </c>
      <c r="C20" s="9">
        <f>IFERROR(VLOOKUP(C17,Parametros!$A$57:$E$66,5,FALSE()),0)</f>
        <v>0</v>
      </c>
      <c r="D20" s="39"/>
    </row>
    <row r="21" spans="1:4" ht="33.75" x14ac:dyDescent="0.25">
      <c r="A21" s="10" t="s">
        <v>206</v>
      </c>
      <c r="B21" s="12">
        <f>Parametros!$B$51*$B$4*(1-B20*B18)+Parametros!$B$52*$B$5*(1-B19*B18)</f>
        <v>6.6029065715147661E-2</v>
      </c>
      <c r="C21" s="12">
        <f>Parametros!$B$51*$B$4*(1-C20*C18)+Parametros!$B$52*$B$5*(1-C19*C18)</f>
        <v>8.7999999999999995E-2</v>
      </c>
      <c r="D21" s="2" t="s">
        <v>207</v>
      </c>
    </row>
    <row r="22" spans="1:4" ht="22.5" x14ac:dyDescent="0.25">
      <c r="A22" s="1" t="s">
        <v>208</v>
      </c>
      <c r="B22" s="7">
        <f>B14*(1-B15*$B$4-B16*$B$5)</f>
        <v>6.7285881404998846E-2</v>
      </c>
      <c r="C22" s="7">
        <f>C14*(1-C15*$B$4-C16*$B$5)</f>
        <v>9.7280401308120906E-2</v>
      </c>
      <c r="D22" s="2" t="s">
        <v>209</v>
      </c>
    </row>
    <row r="23" spans="1:4" x14ac:dyDescent="0.25">
      <c r="A23" s="1" t="s">
        <v>210</v>
      </c>
      <c r="B23" s="7">
        <f>B14*(1-B15*$B$4-B16)</f>
        <v>4.0610413629052558E-2</v>
      </c>
      <c r="C23" s="7">
        <f>C14*(1-C15*$B$4-C16)</f>
        <v>5.937137202138313E-2</v>
      </c>
    </row>
    <row r="24" spans="1:4" ht="22.5" x14ac:dyDescent="0.25">
      <c r="A24" s="1" t="s">
        <v>211</v>
      </c>
      <c r="B24" s="7">
        <f>B22</f>
        <v>6.7285881404998846E-2</v>
      </c>
      <c r="C24" s="7">
        <f>C22</f>
        <v>9.7280401308120906E-2</v>
      </c>
      <c r="D24" s="2" t="s">
        <v>212</v>
      </c>
    </row>
    <row r="25" spans="1:4" x14ac:dyDescent="0.25">
      <c r="A25" s="10" t="s">
        <v>213</v>
      </c>
      <c r="B25" s="33">
        <f>B11*B22+B12*B23+B13*B24</f>
        <v>1390.094824812476</v>
      </c>
      <c r="C25" s="33">
        <f>C11*C22+C12*C23+C13*C24</f>
        <v>4864.0200654060454</v>
      </c>
    </row>
    <row r="26" spans="1:4" ht="33.75" x14ac:dyDescent="0.25">
      <c r="A26" s="1" t="s">
        <v>214</v>
      </c>
      <c r="B26" s="25">
        <f>MAX(B10-(B12+B13)*Dados!$B$15-Dados!$B$20,0)</f>
        <v>96127</v>
      </c>
      <c r="C26" s="25">
        <f>MAX(C10-(C12+C13)*Dados!$B$27-Dados!$B$32,0)</f>
        <v>50000</v>
      </c>
      <c r="D26" s="2" t="s">
        <v>215</v>
      </c>
    </row>
    <row r="27" spans="1:4" x14ac:dyDescent="0.25">
      <c r="A27" s="10" t="s">
        <v>216</v>
      </c>
      <c r="B27" s="33">
        <f>B26*B21</f>
        <v>6347.1759999999995</v>
      </c>
      <c r="C27" s="33">
        <f>C26*C21</f>
        <v>4400</v>
      </c>
    </row>
    <row r="29" spans="1:4" x14ac:dyDescent="0.25">
      <c r="A29" s="38" t="s">
        <v>217</v>
      </c>
      <c r="B29" s="38"/>
      <c r="C29" s="38"/>
      <c r="D29" s="38"/>
    </row>
    <row r="30" spans="1:4" x14ac:dyDescent="0.25">
      <c r="A30" s="1" t="s">
        <v>218</v>
      </c>
      <c r="B30" s="25">
        <f>B27+C27</f>
        <v>10747.175999999999</v>
      </c>
    </row>
    <row r="31" spans="1:4" x14ac:dyDescent="0.25">
      <c r="A31" s="1" t="s">
        <v>219</v>
      </c>
      <c r="B31" s="32">
        <f>Despesas!$F$36</f>
        <v>9292.7999999999993</v>
      </c>
      <c r="D31" s="2" t="s">
        <v>220</v>
      </c>
    </row>
    <row r="32" spans="1:4" x14ac:dyDescent="0.25">
      <c r="A32" s="10" t="s">
        <v>221</v>
      </c>
      <c r="B32" s="33">
        <f>MAX(B30-B31,0)</f>
        <v>1454.3760000000002</v>
      </c>
    </row>
    <row r="33" spans="1:4" ht="22.5" x14ac:dyDescent="0.25">
      <c r="A33" s="1" t="s">
        <v>222</v>
      </c>
      <c r="B33" s="25">
        <f>MAX(B31-B30,0)</f>
        <v>0</v>
      </c>
      <c r="D33" s="2" t="s">
        <v>223</v>
      </c>
    </row>
    <row r="34" spans="1:4" x14ac:dyDescent="0.25">
      <c r="A34" s="1" t="s">
        <v>224</v>
      </c>
      <c r="B34" s="25">
        <f>B25+C25</f>
        <v>6254.1148902185214</v>
      </c>
    </row>
    <row r="35" spans="1:4" x14ac:dyDescent="0.25">
      <c r="A35" s="10" t="s">
        <v>225</v>
      </c>
      <c r="B35" s="27">
        <f>B34+B32</f>
        <v>7708.4908902185216</v>
      </c>
    </row>
    <row r="36" spans="1:4" ht="22.5" x14ac:dyDescent="0.25">
      <c r="A36" s="10" t="s">
        <v>192</v>
      </c>
      <c r="B36" s="33">
        <f>(B27*IF(Dados!$B$19="S",1,0)+C27*IF(Dados!$B$31="S",1,0))*Dados!$B$35</f>
        <v>6448.3055999999997</v>
      </c>
      <c r="D36" s="2" t="s">
        <v>226</v>
      </c>
    </row>
  </sheetData>
  <mergeCells count="4">
    <mergeCell ref="A1:D1"/>
    <mergeCell ref="A8:D8"/>
    <mergeCell ref="D19:D20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"/>
  <sheetViews>
    <sheetView showGridLines="0" zoomScaleNormal="100" workbookViewId="0"/>
  </sheetViews>
  <sheetFormatPr defaultColWidth="8.7109375" defaultRowHeight="15" x14ac:dyDescent="0.25"/>
  <cols>
    <col min="1" max="1" width="55" customWidth="1"/>
    <col min="2" max="4" width="26" customWidth="1"/>
  </cols>
  <sheetData>
    <row r="1" spans="1:4" ht="24" customHeight="1" x14ac:dyDescent="0.25">
      <c r="A1" s="40" t="s">
        <v>227</v>
      </c>
      <c r="B1" s="40"/>
      <c r="C1" s="40"/>
      <c r="D1" s="40"/>
    </row>
    <row r="3" spans="1:4" x14ac:dyDescent="0.25">
      <c r="A3" s="10" t="s">
        <v>103</v>
      </c>
      <c r="B3" s="31" t="str">
        <f>Dados!B4</f>
        <v>PLANT FLOR</v>
      </c>
    </row>
    <row r="4" spans="1:4" x14ac:dyDescent="0.25">
      <c r="A4" s="10" t="s">
        <v>104</v>
      </c>
      <c r="B4" s="29" t="str">
        <f>Dados!B5</f>
        <v>2027</v>
      </c>
    </row>
    <row r="6" spans="1:4" ht="27.75" customHeight="1" x14ac:dyDescent="0.25">
      <c r="B6" s="37" t="s">
        <v>228</v>
      </c>
      <c r="C6" s="37" t="s">
        <v>229</v>
      </c>
      <c r="D6" s="37" t="s">
        <v>230</v>
      </c>
    </row>
    <row r="7" spans="1:4" x14ac:dyDescent="0.25">
      <c r="A7" s="1" t="s">
        <v>231</v>
      </c>
      <c r="B7" s="32">
        <f>Cen1_PGDAS!B27</f>
        <v>8408.6891977802261</v>
      </c>
      <c r="C7" s="32">
        <f>Cen2_Hibrido!B35</f>
        <v>7708.4908902185216</v>
      </c>
      <c r="D7" s="25">
        <f>C7-B7</f>
        <v>-700.1983075617045</v>
      </c>
    </row>
    <row r="8" spans="1:4" x14ac:dyDescent="0.25">
      <c r="A8" s="1" t="s">
        <v>232</v>
      </c>
      <c r="B8" s="32">
        <f>B7*12</f>
        <v>100904.27037336271</v>
      </c>
      <c r="C8" s="32">
        <f>C7*12</f>
        <v>92501.890682622266</v>
      </c>
      <c r="D8" s="25">
        <f>C8-B8</f>
        <v>-8402.3796907404467</v>
      </c>
    </row>
    <row r="9" spans="1:4" x14ac:dyDescent="0.25">
      <c r="A9" s="1" t="s">
        <v>233</v>
      </c>
      <c r="B9" s="19">
        <f>IF(Dados!$B$12+Dados!$B$24&gt;0,B7/(Dados!$B$12+Dados!$B$24),0)</f>
        <v>5.7543706486687787E-2</v>
      </c>
      <c r="C9" s="19">
        <f>IF(Dados!$B$12+Dados!$B$24&gt;0,C7/(Dados!$B$12+Dados!$B$24),0)</f>
        <v>5.2751995799670985E-2</v>
      </c>
      <c r="D9" s="7">
        <f>C9-B9</f>
        <v>-4.7917106870168022E-3</v>
      </c>
    </row>
    <row r="10" spans="1:4" x14ac:dyDescent="0.25">
      <c r="A10" s="1" t="s">
        <v>192</v>
      </c>
      <c r="B10" s="32">
        <f>Cen1_PGDAS!B28</f>
        <v>1292.7445845370235</v>
      </c>
      <c r="C10" s="32">
        <f>Cen2_Hibrido!B36</f>
        <v>6448.3055999999997</v>
      </c>
      <c r="D10" s="25">
        <f>C10-B10</f>
        <v>5155.5610154629758</v>
      </c>
    </row>
    <row r="11" spans="1:4" x14ac:dyDescent="0.25">
      <c r="A11" s="10" t="s">
        <v>234</v>
      </c>
      <c r="B11" s="32">
        <f>B7-B10</f>
        <v>7115.9446132432022</v>
      </c>
      <c r="C11" s="32">
        <f>C7-C10</f>
        <v>1260.1852902185219</v>
      </c>
      <c r="D11" s="25">
        <f>C11-B11</f>
        <v>-5855.7593230246803</v>
      </c>
    </row>
    <row r="12" spans="1:4" x14ac:dyDescent="0.25">
      <c r="A12" s="1" t="s">
        <v>235</v>
      </c>
      <c r="B12" s="5" t="s">
        <v>236</v>
      </c>
      <c r="C12" s="19">
        <f>Cen2_Hibrido!B21</f>
        <v>6.6029065715147661E-2</v>
      </c>
    </row>
    <row r="13" spans="1:4" x14ac:dyDescent="0.25">
      <c r="A13" s="1" t="s">
        <v>237</v>
      </c>
      <c r="B13" s="5" t="s">
        <v>236</v>
      </c>
      <c r="C13" s="19">
        <f>Cen2_Hibrido!C21</f>
        <v>8.7999999999999995E-2</v>
      </c>
    </row>
    <row r="14" spans="1:4" x14ac:dyDescent="0.25">
      <c r="A14" s="1" t="s">
        <v>238</v>
      </c>
      <c r="B14" s="5" t="s">
        <v>239</v>
      </c>
      <c r="C14" s="32">
        <f>Cen2_Hibrido!B33</f>
        <v>0</v>
      </c>
    </row>
    <row r="15" spans="1:4" ht="22.5" x14ac:dyDescent="0.25">
      <c r="D15" s="2" t="s">
        <v>240</v>
      </c>
    </row>
    <row r="17" spans="1:4" x14ac:dyDescent="0.25">
      <c r="A17" s="38" t="s">
        <v>241</v>
      </c>
      <c r="B17" s="38"/>
      <c r="C17" s="38"/>
      <c r="D17" s="38"/>
    </row>
    <row r="18" spans="1:4" x14ac:dyDescent="0.25">
      <c r="A18" s="1" t="s">
        <v>242</v>
      </c>
      <c r="B18" s="26" t="str">
        <f>IF(C7&lt;B7,"HÍBRIDO",IF(C7&gt;B7,"PGDAS","EMPATE"))</f>
        <v>HÍBRIDO</v>
      </c>
    </row>
    <row r="19" spans="1:4" x14ac:dyDescent="0.25">
      <c r="A19" s="1" t="s">
        <v>243</v>
      </c>
      <c r="B19" s="26" t="str">
        <f>IF(C11&lt;B11,"HÍBRIDO",IF(C11&gt;B11,"PGDAS","EMPATE"))</f>
        <v>HÍBRIDO</v>
      </c>
    </row>
    <row r="21" spans="1:4" ht="15.75" customHeight="1" x14ac:dyDescent="0.25">
      <c r="A21" s="10" t="s">
        <v>244</v>
      </c>
      <c r="B21" s="43" t="str">
        <f>IF(AND(C7&lt;=B7,C11&lt;=B11),"HÍBRIDO: menor carga própria E maior competitividade junto a clientes B2B.",IF(AND(B7&lt;=C7,B11&lt;=C11),"PGDAS: permanecer com IBS/CBS por dentro — menor carga própria e a vantagem de crédito ao cliente não compensa.","DEPENDE DO REPASSE: o híbrido custa mais à empresa, porém barateia a compra para o cliente B2B (crédito integral). Vale a pena se for possível precificar/repassar esse crédito ou se a concorrência exigir."))</f>
        <v>HÍBRIDO: menor carga própria E maior competitividade junto a clientes B2B.</v>
      </c>
      <c r="C21" s="43"/>
      <c r="D21" s="43"/>
    </row>
    <row r="22" spans="1:4" x14ac:dyDescent="0.25">
      <c r="B22" s="43"/>
      <c r="C22" s="43"/>
      <c r="D22" s="43"/>
    </row>
    <row r="23" spans="1:4" x14ac:dyDescent="0.25">
      <c r="B23" s="43"/>
      <c r="C23" s="43"/>
      <c r="D23" s="43"/>
    </row>
    <row r="25" spans="1:4" x14ac:dyDescent="0.25">
      <c r="A25" s="38" t="s">
        <v>245</v>
      </c>
      <c r="B25" s="38"/>
      <c r="C25" s="38"/>
      <c r="D25" s="38"/>
    </row>
    <row r="26" spans="1:4" ht="27.75" customHeight="1" x14ac:dyDescent="0.25">
      <c r="A26" s="43" t="s">
        <v>246</v>
      </c>
      <c r="B26" s="43"/>
      <c r="C26" s="43"/>
      <c r="D26" s="43"/>
    </row>
    <row r="27" spans="1:4" ht="27.75" customHeight="1" x14ac:dyDescent="0.25">
      <c r="A27" s="43" t="s">
        <v>247</v>
      </c>
      <c r="B27" s="43"/>
      <c r="C27" s="43"/>
      <c r="D27" s="43"/>
    </row>
    <row r="28" spans="1:4" ht="27.75" customHeight="1" x14ac:dyDescent="0.25">
      <c r="A28" s="43" t="s">
        <v>248</v>
      </c>
      <c r="B28" s="43"/>
      <c r="C28" s="43"/>
      <c r="D28" s="43"/>
    </row>
    <row r="29" spans="1:4" ht="27.75" customHeight="1" x14ac:dyDescent="0.25">
      <c r="A29" s="43" t="s">
        <v>249</v>
      </c>
      <c r="B29" s="43"/>
      <c r="C29" s="43"/>
      <c r="D29" s="43"/>
    </row>
    <row r="30" spans="1:4" ht="27.75" customHeight="1" x14ac:dyDescent="0.25">
      <c r="A30" s="43" t="s">
        <v>250</v>
      </c>
      <c r="B30" s="43"/>
      <c r="C30" s="43"/>
      <c r="D30" s="43"/>
    </row>
    <row r="31" spans="1:4" ht="27.75" customHeight="1" x14ac:dyDescent="0.25">
      <c r="A31" s="43" t="s">
        <v>251</v>
      </c>
      <c r="B31" s="43"/>
      <c r="C31" s="43"/>
      <c r="D31" s="43"/>
    </row>
    <row r="32" spans="1:4" ht="27.75" customHeight="1" x14ac:dyDescent="0.25">
      <c r="A32" s="43" t="s">
        <v>252</v>
      </c>
      <c r="B32" s="43"/>
      <c r="C32" s="43"/>
      <c r="D32" s="43"/>
    </row>
  </sheetData>
  <mergeCells count="11">
    <mergeCell ref="A1:D1"/>
    <mergeCell ref="A17:D17"/>
    <mergeCell ref="B21:D23"/>
    <mergeCell ref="A25:D25"/>
    <mergeCell ref="A26:D26"/>
    <mergeCell ref="A32:D32"/>
    <mergeCell ref="A27:D27"/>
    <mergeCell ref="A28:D28"/>
    <mergeCell ref="A29:D29"/>
    <mergeCell ref="A30:D30"/>
    <mergeCell ref="A31:D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Leia-me</vt:lpstr>
      <vt:lpstr>Parametros</vt:lpstr>
      <vt:lpstr>Confronto_Simples</vt:lpstr>
      <vt:lpstr>Dados</vt:lpstr>
      <vt:lpstr>Despesas</vt:lpstr>
      <vt:lpstr>Cen1_PGDAS</vt:lpstr>
      <vt:lpstr>Cen2_Hibrido</vt:lpstr>
      <vt:lpstr>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Danielle Rocha | Tributário</cp:lastModifiedBy>
  <cp:revision>0</cp:revision>
  <dcterms:created xsi:type="dcterms:W3CDTF">2026-07-09T11:39:17Z</dcterms:created>
  <dcterms:modified xsi:type="dcterms:W3CDTF">2026-07-15T20:51:50Z</dcterms:modified>
  <dc:language>en-US</dc:language>
</cp:coreProperties>
</file>